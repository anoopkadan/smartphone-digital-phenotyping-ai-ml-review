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tonac-my.sharepoint.com/personal/ak7u24_soton_ac_uk/Documents/Anoops Data/UOS/Professional/2_Research/Research Works In Progress/1_ systematic review - digital phenotyping/0_writing/input/"/>
    </mc:Choice>
  </mc:AlternateContent>
  <xr:revisionPtr revIDLastSave="753" documentId="8_{815EAC58-119E-45A3-827D-68CC7F5DC137}" xr6:coauthVersionLast="47" xr6:coauthVersionMax="47" xr10:uidLastSave="{98BDCC82-014A-42E9-B706-B166C880EAD2}"/>
  <bookViews>
    <workbookView xWindow="-108" yWindow="-108" windowWidth="23256" windowHeight="12456" xr2:uid="{62EBDBC5-5B41-40A7-A091-45BEDA1EA221}"/>
  </bookViews>
  <sheets>
    <sheet name="Sheet1" sheetId="1" r:id="rId1"/>
    <sheet name="resul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2" l="1"/>
  <c r="B2" i="2"/>
  <c r="E139" i="1"/>
  <c r="E135" i="1"/>
  <c r="E136" i="1"/>
  <c r="E137" i="1"/>
  <c r="E13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48" i="1"/>
  <c r="E49" i="1"/>
  <c r="E37" i="1"/>
  <c r="E38" i="1"/>
  <c r="E39" i="1"/>
  <c r="E40" i="1"/>
  <c r="E41" i="1"/>
  <c r="E42" i="1"/>
  <c r="E43" i="1"/>
  <c r="E44" i="1"/>
  <c r="E45" i="1"/>
  <c r="E46" i="1"/>
  <c r="E47" i="1"/>
  <c r="E30" i="1"/>
  <c r="E31" i="1"/>
  <c r="E32" i="1"/>
  <c r="E33" i="1"/>
  <c r="E34" i="1"/>
  <c r="E35" i="1"/>
  <c r="E36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" i="1"/>
  <c r="E4" i="1"/>
  <c r="E2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61" i="1"/>
  <c r="E62" i="1"/>
  <c r="E63" i="1"/>
  <c r="E64" i="1"/>
  <c r="E65" i="1"/>
  <c r="E59" i="1"/>
  <c r="E60" i="1"/>
  <c r="E51" i="1"/>
  <c r="E52" i="1"/>
  <c r="E53" i="1"/>
  <c r="E54" i="1"/>
  <c r="E55" i="1"/>
  <c r="E56" i="1"/>
  <c r="E57" i="1"/>
  <c r="E58" i="1"/>
  <c r="E50" i="1"/>
</calcChain>
</file>

<file path=xl/sharedStrings.xml><?xml version="1.0" encoding="utf-8"?>
<sst xmlns="http://schemas.openxmlformats.org/spreadsheetml/2006/main" count="561" uniqueCount="180">
  <si>
    <t>Study Reference</t>
  </si>
  <si>
    <t>Aalbers et al. (2023)</t>
  </si>
  <si>
    <t>Bonaquist et al. (2021)</t>
  </si>
  <si>
    <t>Adler et al. (2020)</t>
  </si>
  <si>
    <t>Adler et al. (2022)</t>
  </si>
  <si>
    <t>Grunerbl et al. (2015)</t>
  </si>
  <si>
    <t>Andersen et al. (2023)</t>
  </si>
  <si>
    <t>Asare et al. (2021)</t>
  </si>
  <si>
    <t>Darmawan et al. (2021)</t>
  </si>
  <si>
    <t>Auerbach et al. (2022)</t>
  </si>
  <si>
    <t>Yuan et al. (2023)</t>
  </si>
  <si>
    <t>Barnett at al. (2018)</t>
  </si>
  <si>
    <t>Barrigon at al. (2023)</t>
  </si>
  <si>
    <t>Ben-Zeev at al. (2017)</t>
  </si>
  <si>
    <t>Ben-Zeev at al. (2015)</t>
  </si>
  <si>
    <t>Nguyen at al. (2021)</t>
  </si>
  <si>
    <t>Braund at al. (2023)</t>
  </si>
  <si>
    <t>Breitinger et al. (2023)</t>
  </si>
  <si>
    <t>Zou at al. (2023)</t>
  </si>
  <si>
    <t>Cai at al. (2020)</t>
  </si>
  <si>
    <t>Cao at al. (2017)</t>
  </si>
  <si>
    <t>Cho at al. (2019)</t>
  </si>
  <si>
    <t>Choudhary at al. (2022)</t>
  </si>
  <si>
    <t>Wu at al. (2023)</t>
  </si>
  <si>
    <t>Clery et al.. (2025)</t>
  </si>
  <si>
    <t>Cohen et al. (2023)</t>
  </si>
  <si>
    <t>Cohen et al. (2025)</t>
  </si>
  <si>
    <t>Currey et al. (2023)</t>
  </si>
  <si>
    <t>Currey et al. (2022)</t>
  </si>
  <si>
    <t>Angel et al. (2023)</t>
  </si>
  <si>
    <t>Kim et al. (2024)</t>
  </si>
  <si>
    <t>Matteo et al. (2021)</t>
  </si>
  <si>
    <t>Dissing et al. (2019)</t>
  </si>
  <si>
    <t>Dominiak et al. (2022)</t>
  </si>
  <si>
    <t>Edler et al. (2024)</t>
  </si>
  <si>
    <t>Garcia-Ceja et al. (2016)</t>
  </si>
  <si>
    <t>Fitz et al. (2019)</t>
  </si>
  <si>
    <t>Gardea-Resendez et al. (2024)</t>
  </si>
  <si>
    <t>Dong et al.(2021)</t>
  </si>
  <si>
    <t>Gillett et al. (2021)</t>
  </si>
  <si>
    <t>Goltermann et a. (2021)</t>
  </si>
  <si>
    <t>Gruenerbl et al. (2024)</t>
  </si>
  <si>
    <t>Hassantabar et al. (2022)</t>
  </si>
  <si>
    <t>Henson et al. (2021)</t>
  </si>
  <si>
    <t>Huang et al. (2018)</t>
  </si>
  <si>
    <t>Huang et al. (2017)</t>
  </si>
  <si>
    <t>Ikäheimonen et al. (2025)</t>
  </si>
  <si>
    <t>Jacobson el al. (2022)</t>
  </si>
  <si>
    <t>Jafarlou et al. (2024)</t>
  </si>
  <si>
    <t>Jean et al. (2025)</t>
  </si>
  <si>
    <t>Hsu et al. (2023)</t>
  </si>
  <si>
    <t>Kaczmarek-Majer et al. (2024)</t>
  </si>
  <si>
    <t>Kas at al. (2023)</t>
  </si>
  <si>
    <t>Krajchevska at al (2022)</t>
  </si>
  <si>
    <t>Sakaguchi et al. (2023)</t>
  </si>
  <si>
    <t>Lane et al. (2025)</t>
  </si>
  <si>
    <t>Leaning et al. (2025)</t>
  </si>
  <si>
    <t>LIU et al. (2021)</t>
  </si>
  <si>
    <t>LIU et al. (2022)</t>
  </si>
  <si>
    <t>Mahalingham et al. (2022)</t>
  </si>
  <si>
    <t>Matcham et al. (2022)</t>
  </si>
  <si>
    <t>McIntyre et al. (2021)</t>
  </si>
  <si>
    <t>Mehrotra et al. (2017)</t>
  </si>
  <si>
    <t>Meyer et al. (2018)</t>
  </si>
  <si>
    <t>Qirtas et al. (2022)</t>
  </si>
  <si>
    <t>Reich et al. (2025)</t>
  </si>
  <si>
    <t>Moran et al. (2024)</t>
  </si>
  <si>
    <t>Moshe et al. (2021)</t>
  </si>
  <si>
    <t>Nepal et al. (2022)</t>
  </si>
  <si>
    <t>Yamamoto et al. (2018)</t>
  </si>
  <si>
    <t>Odom et al. (2025)</t>
  </si>
  <si>
    <t>Asare et al. (2022)</t>
  </si>
  <si>
    <t>Andersen et al. (2022)</t>
  </si>
  <si>
    <t>Palmius et al. (2018)</t>
  </si>
  <si>
    <t>Park et al. (2022)</t>
  </si>
  <si>
    <t>Matias et al. (2024)</t>
  </si>
  <si>
    <t>Qirtas et al.(2023)</t>
  </si>
  <si>
    <t>Razavi et al. (2020)</t>
  </si>
  <si>
    <t>Ren et al. (2022)</t>
  </si>
  <si>
    <t>Fadul et al. (2023)</t>
  </si>
  <si>
    <t>Ryu et al. (2021)</t>
  </si>
  <si>
    <t>Saeb et al. (2015)</t>
  </si>
  <si>
    <t>Sano et al. (2015)</t>
  </si>
  <si>
    <t>Sano et al. (2018)</t>
  </si>
  <si>
    <t>Ghosh et al. (2022)</t>
  </si>
  <si>
    <t>Ghosh et al. (2019)</t>
  </si>
  <si>
    <t>Shin et al. (2023)</t>
  </si>
  <si>
    <t>Spathis et al. (2019)</t>
  </si>
  <si>
    <t>Stamatis et al. (2024)</t>
  </si>
  <si>
    <t>Stanković et al. (2021)</t>
  </si>
  <si>
    <t>Su et al. (2021)</t>
  </si>
  <si>
    <t>Sukei et a. (2021)</t>
  </si>
  <si>
    <t>Sun et al. (2023)</t>
  </si>
  <si>
    <t>Tabassum et al. (2023)</t>
  </si>
  <si>
    <t>Terhorst et al. (2025)</t>
  </si>
  <si>
    <t>Tlachac et al. (2024)</t>
  </si>
  <si>
    <t>Tlachac et al. (2023)</t>
  </si>
  <si>
    <t>Barnett et al. (2018)</t>
  </si>
  <si>
    <t>Wang et al. (2016)</t>
  </si>
  <si>
    <t>wang et al. (2018)</t>
  </si>
  <si>
    <t>wang et al. (2022)</t>
  </si>
  <si>
    <t>Wang et al. (2024)</t>
  </si>
  <si>
    <t>Wen et al. (2021)</t>
  </si>
  <si>
    <t>Gerych et al. (2019)</t>
  </si>
  <si>
    <t>Wu et al. (2018)</t>
  </si>
  <si>
    <t>Wyant et al. (2023)</t>
  </si>
  <si>
    <t>Ge et al. (2023)</t>
  </si>
  <si>
    <t>Gu et al. (2024)</t>
  </si>
  <si>
    <t>Xu et al. (2021)</t>
  </si>
  <si>
    <t>Xu et al. (2024)</t>
  </si>
  <si>
    <t>Yupanqui et al. (2024)</t>
  </si>
  <si>
    <t>Zhang et al. (2024)</t>
  </si>
  <si>
    <t>Zhang et al. (2019)</t>
  </si>
  <si>
    <t>Zhou  et al. (2022)</t>
  </si>
  <si>
    <t>Zulueta et al. (2018)</t>
  </si>
  <si>
    <t>Xu et al. (2025)</t>
  </si>
  <si>
    <t>Yang et al. (2023)</t>
  </si>
  <si>
    <t>NA</t>
  </si>
  <si>
    <t>Both</t>
  </si>
  <si>
    <t>Not used</t>
  </si>
  <si>
    <t>Smartwatches</t>
  </si>
  <si>
    <t>Tablet</t>
  </si>
  <si>
    <t>Other Wearables</t>
  </si>
  <si>
    <t>Device Name</t>
  </si>
  <si>
    <t>wristband</t>
  </si>
  <si>
    <t xml:space="preserve">1. Studying activity: A background application named FocusPang ai which is designed for web-based studying
2. Metaverse gaming activities: SKT ifland </t>
  </si>
  <si>
    <t>Empatica E4</t>
  </si>
  <si>
    <t>SAMSUNG Galaxy Watch5</t>
  </si>
  <si>
    <t>Garmin Vivosmart 4 fit</t>
  </si>
  <si>
    <t>Oura Ring</t>
  </si>
  <si>
    <t>Oura ring</t>
  </si>
  <si>
    <t>Wearable / fitness tracker for step and heart-rate features (exact device not reported)</t>
  </si>
  <si>
    <t>Q-sensor (Affectiva) and Motion Logger (AMI) wrist sensors</t>
  </si>
  <si>
    <t>Microsoft Band 2</t>
  </si>
  <si>
    <t>Apple Watch; Digitalyst Type S wearable GPS device</t>
  </si>
  <si>
    <t>Oura Ring, Samsung Smartwatch</t>
  </si>
  <si>
    <t>ml_model_type</t>
  </si>
  <si>
    <t>Classical ML</t>
  </si>
  <si>
    <t>Deep Learning</t>
  </si>
  <si>
    <t xml:space="preserve">Statistical Study </t>
  </si>
  <si>
    <t xml:space="preserve">Google Fitbit </t>
  </si>
  <si>
    <t>VeryFitPro Watch; Oura Ring</t>
  </si>
  <si>
    <t>Samsung Active 2 watch; Oura Ring</t>
  </si>
  <si>
    <t>Smart ring</t>
  </si>
  <si>
    <t>Wristband</t>
  </si>
  <si>
    <t>Wristband; Actigraphy device</t>
  </si>
  <si>
    <t>Q-sensor (Affectiva);  MotionLogger (AMI) wrist sensors</t>
  </si>
  <si>
    <t>Google Fitbit; Garmin</t>
  </si>
  <si>
    <t>Google Fitbit</t>
  </si>
  <si>
    <t>Wristband; sleep monitor</t>
  </si>
  <si>
    <t>Empatica E4 ; Beddit Sleep Monitor</t>
  </si>
  <si>
    <t xml:space="preserve">Empatica E4 </t>
  </si>
  <si>
    <t>mm_count</t>
  </si>
  <si>
    <t>fitbit</t>
  </si>
  <si>
    <t xml:space="preserve">total </t>
  </si>
  <si>
    <t>smart watch</t>
  </si>
  <si>
    <r>
      <rPr>
        <b/>
        <sz val="11"/>
        <color theme="7" tint="-0.249977111117893"/>
        <rFont val="Aptos Narrow"/>
        <family val="2"/>
        <scheme val="minor"/>
      </rPr>
      <t>Smartwatches</t>
    </r>
    <r>
      <rPr>
        <sz val="11"/>
        <color theme="1"/>
        <rFont val="Aptos Narrow"/>
        <family val="2"/>
        <scheme val="minor"/>
      </rPr>
      <t xml:space="preserve">; </t>
    </r>
    <r>
      <rPr>
        <b/>
        <sz val="11"/>
        <color theme="5" tint="-0.499984740745262"/>
        <rFont val="Aptos Narrow"/>
        <family val="2"/>
        <scheme val="minor"/>
      </rPr>
      <t xml:space="preserve">Smart ring </t>
    </r>
    <r>
      <rPr>
        <sz val="11"/>
        <color theme="1"/>
        <rFont val="Aptos Narrow"/>
        <family val="2"/>
        <scheme val="minor"/>
      </rPr>
      <t xml:space="preserve"> </t>
    </r>
  </si>
  <si>
    <r>
      <rPr>
        <b/>
        <sz val="11"/>
        <color theme="7" tint="-0.249977111117893"/>
        <rFont val="Aptos Narrow"/>
        <family val="2"/>
        <scheme val="minor"/>
      </rPr>
      <t>Smartwatches</t>
    </r>
    <r>
      <rPr>
        <b/>
        <sz val="11"/>
        <color theme="5" tint="-0.499984740745262"/>
        <rFont val="Aptos Narrow"/>
        <family val="2"/>
        <scheme val="minor"/>
      </rPr>
      <t xml:space="preserve">; Smart ring </t>
    </r>
    <r>
      <rPr>
        <sz val="11"/>
        <color theme="1"/>
        <rFont val="Aptos Narrow"/>
        <family val="2"/>
        <scheme val="minor"/>
      </rPr>
      <t xml:space="preserve"> </t>
    </r>
  </si>
  <si>
    <r>
      <rPr>
        <b/>
        <sz val="11"/>
        <color theme="7" tint="-0.249977111117893"/>
        <rFont val="Aptos Narrow"/>
        <family val="2"/>
        <scheme val="minor"/>
      </rPr>
      <t>Smartwatches</t>
    </r>
    <r>
      <rPr>
        <sz val="11"/>
        <color theme="1"/>
        <rFont val="Aptos Narrow"/>
        <family val="2"/>
        <scheme val="minor"/>
      </rPr>
      <t xml:space="preserve">; </t>
    </r>
    <r>
      <rPr>
        <b/>
        <sz val="11"/>
        <color theme="5" tint="-0.499984740745262"/>
        <rFont val="Aptos Narrow"/>
        <family val="2"/>
        <scheme val="minor"/>
      </rPr>
      <t xml:space="preserve">Smart ring </t>
    </r>
  </si>
  <si>
    <t>wristband and other wearables</t>
  </si>
  <si>
    <t xml:space="preserve">Samsung </t>
  </si>
  <si>
    <t>non_smartphone_device</t>
  </si>
  <si>
    <t>Wu et al. (2026)</t>
  </si>
  <si>
    <t>Feng et al. (2026)</t>
  </si>
  <si>
    <t>Zhang et al. (2026)</t>
  </si>
  <si>
    <t>Kirovska et al. (2026)</t>
  </si>
  <si>
    <t>Tang et al. (2026)</t>
  </si>
  <si>
    <t>Zamani et al. (2026)</t>
  </si>
  <si>
    <t>Ray et al. (2026)</t>
  </si>
  <si>
    <t>Lee et al. (2026)</t>
  </si>
  <si>
    <t>Zhang et al. (2025)</t>
  </si>
  <si>
    <t>Chowdhury et al. (2025)</t>
  </si>
  <si>
    <t>Patanè et al. (2025)</t>
  </si>
  <si>
    <t>Bonato et al. (2026)</t>
  </si>
  <si>
    <t>Kadirvelu et al. (2026)</t>
  </si>
  <si>
    <t>A et al. (2026)</t>
  </si>
  <si>
    <t>J et al. (2026)</t>
  </si>
  <si>
    <t>S et al. (2025)</t>
  </si>
  <si>
    <t>G et al. (2025)</t>
  </si>
  <si>
    <t>Kim et al. (2026)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</si>
</sst>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7" tint="-0.249977111117893"/>
      <name val="Aptos Narrow"/>
      <family val="2"/>
      <scheme val="minor"/>
    </font>
    <font>
      <b/>
      <sz val="11"/>
      <color theme="5" tint="-0.499984740745262"/>
      <name val="Aptos Narrow"/>
      <family val="2"/>
      <scheme val="minor"/>
    </font>
    <font>
      <sz val="11"/>
      <color rgb="FF000000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0" xfId="0" applyAlignment="1">
      <alignment wrapText="1"/>
    </xf>
    <xf numFmtId="0" fontId="0" fillId="0" borderId="2" xfId="0" applyBorder="1"/>
    <xf numFmtId="0" fontId="2" fillId="0" borderId="0" xfId="0" applyFont="1" applyAlignment="1">
      <alignment wrapText="1"/>
    </xf>
    <xf numFmtId="0" fontId="2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0" borderId="3" xfId="0" applyFont="1" applyBorder="1"/>
    <xf numFmtId="0" fontId="2" fillId="0" borderId="5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3" fillId="0" borderId="2" xfId="0" applyFont="1" applyBorder="1"/>
    <xf numFmtId="0" fontId="3" fillId="0" borderId="5" xfId="0" applyFont="1" applyBorder="1"/>
    <xf numFmtId="0" fontId="4" fillId="0" borderId="2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 wrapText="1"/>
    </xf>
    <xf numFmtId="0" fontId="0" fillId="3" borderId="2" xfId="0" applyFill="1" applyBorder="1" applyAlignment="1">
      <alignment wrapText="1"/>
    </xf>
    <xf numFmtId="0" fontId="0" fillId="3" borderId="0" xfId="0" applyFill="1"/>
    <xf numFmtId="0" fontId="3" fillId="3" borderId="2" xfId="0" applyFont="1" applyFill="1" applyBorder="1" applyAlignment="1">
      <alignment wrapText="1"/>
    </xf>
    <xf numFmtId="0" fontId="2" fillId="4" borderId="4" xfId="0" applyFont="1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5" borderId="2" xfId="0" applyFill="1" applyBorder="1"/>
    <xf numFmtId="0" fontId="10" fillId="0" borderId="2" xfId="0" applyFont="1" applyFill="1" applyBorder="1" applyAlignment="1">
      <alignment wrapText="1"/>
    </xf>
  </cellXfs>
  <cellStyles count="1">
    <cellStyle name="Normal" xfId="0" builtinId="0"/>
  </cellStyles>
  <dxfs count="7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C4EDD-233E-4D60-BAC9-43C61C2A2DFB}">
  <dimension ref="A1:E139"/>
  <sheetViews>
    <sheetView tabSelected="1" topLeftCell="A119" workbookViewId="0">
      <selection activeCell="G124" sqref="G124"/>
    </sheetView>
  </sheetViews>
  <sheetFormatPr defaultRowHeight="14.4" x14ac:dyDescent="0.3"/>
  <cols>
    <col min="1" max="1" width="20.5546875" style="4" customWidth="1"/>
    <col min="2" max="2" width="33.109375" style="4" bestFit="1" customWidth="1"/>
    <col min="3" max="3" width="20.6640625" style="4" customWidth="1"/>
    <col min="4" max="4" width="16.6640625" style="4" customWidth="1"/>
    <col min="5" max="5" width="9.44140625" bestFit="1" customWidth="1"/>
  </cols>
  <sheetData>
    <row r="1" spans="1:5" x14ac:dyDescent="0.3">
      <c r="A1" s="22" t="s">
        <v>0</v>
      </c>
      <c r="B1" s="21" t="s">
        <v>161</v>
      </c>
      <c r="C1" s="21" t="s">
        <v>123</v>
      </c>
      <c r="D1" s="22" t="s">
        <v>136</v>
      </c>
      <c r="E1" t="s">
        <v>152</v>
      </c>
    </row>
    <row r="2" spans="1:5" x14ac:dyDescent="0.3">
      <c r="A2" s="1" t="s">
        <v>1</v>
      </c>
      <c r="B2" s="1" t="s">
        <v>119</v>
      </c>
      <c r="C2" s="1" t="s">
        <v>117</v>
      </c>
      <c r="D2" s="1" t="s">
        <v>137</v>
      </c>
      <c r="E2">
        <f>IF(B2="Not used",0,1)</f>
        <v>0</v>
      </c>
    </row>
    <row r="3" spans="1:5" x14ac:dyDescent="0.3">
      <c r="A3" s="2" t="s">
        <v>2</v>
      </c>
      <c r="B3" s="2" t="s">
        <v>120</v>
      </c>
      <c r="C3" s="2" t="s">
        <v>140</v>
      </c>
      <c r="D3" s="2" t="s">
        <v>137</v>
      </c>
      <c r="E3">
        <f t="shared" ref="E3:E49" si="0">IF(B3="Not used",0,1)</f>
        <v>1</v>
      </c>
    </row>
    <row r="4" spans="1:5" x14ac:dyDescent="0.3">
      <c r="A4" s="2" t="s">
        <v>3</v>
      </c>
      <c r="B4" s="2" t="s">
        <v>119</v>
      </c>
      <c r="C4" s="2" t="s">
        <v>117</v>
      </c>
      <c r="D4" s="2" t="s">
        <v>138</v>
      </c>
      <c r="E4">
        <f t="shared" si="0"/>
        <v>0</v>
      </c>
    </row>
    <row r="5" spans="1:5" x14ac:dyDescent="0.3">
      <c r="A5" s="2" t="s">
        <v>4</v>
      </c>
      <c r="B5" s="2" t="s">
        <v>119</v>
      </c>
      <c r="C5" s="2" t="s">
        <v>117</v>
      </c>
      <c r="D5" s="2" t="s">
        <v>137</v>
      </c>
      <c r="E5">
        <f t="shared" si="0"/>
        <v>0</v>
      </c>
    </row>
    <row r="6" spans="1:5" x14ac:dyDescent="0.3">
      <c r="A6" s="2" t="s">
        <v>5</v>
      </c>
      <c r="B6" s="2" t="s">
        <v>119</v>
      </c>
      <c r="C6" s="2" t="s">
        <v>117</v>
      </c>
      <c r="D6" s="2" t="s">
        <v>137</v>
      </c>
      <c r="E6">
        <f t="shared" si="0"/>
        <v>0</v>
      </c>
    </row>
    <row r="7" spans="1:5" x14ac:dyDescent="0.3">
      <c r="A7" s="2" t="s">
        <v>6</v>
      </c>
      <c r="B7" s="2" t="s">
        <v>119</v>
      </c>
      <c r="C7" s="2" t="s">
        <v>117</v>
      </c>
      <c r="D7" s="2" t="s">
        <v>139</v>
      </c>
      <c r="E7">
        <f t="shared" si="0"/>
        <v>0</v>
      </c>
    </row>
    <row r="8" spans="1:5" x14ac:dyDescent="0.3">
      <c r="A8" s="2" t="s">
        <v>7</v>
      </c>
      <c r="B8" s="2" t="s">
        <v>119</v>
      </c>
      <c r="C8" s="2" t="s">
        <v>117</v>
      </c>
      <c r="D8" s="2" t="s">
        <v>137</v>
      </c>
      <c r="E8">
        <f t="shared" si="0"/>
        <v>0</v>
      </c>
    </row>
    <row r="9" spans="1:5" x14ac:dyDescent="0.3">
      <c r="A9" s="2" t="s">
        <v>8</v>
      </c>
      <c r="B9" s="2" t="s">
        <v>119</v>
      </c>
      <c r="C9" s="2" t="s">
        <v>117</v>
      </c>
      <c r="D9" s="2" t="s">
        <v>137</v>
      </c>
      <c r="E9">
        <f t="shared" si="0"/>
        <v>0</v>
      </c>
    </row>
    <row r="10" spans="1:5" x14ac:dyDescent="0.3">
      <c r="A10" s="2" t="s">
        <v>9</v>
      </c>
      <c r="B10" s="2" t="s">
        <v>119</v>
      </c>
      <c r="C10" s="2" t="s">
        <v>117</v>
      </c>
      <c r="D10" s="2" t="s">
        <v>139</v>
      </c>
      <c r="E10">
        <f t="shared" si="0"/>
        <v>0</v>
      </c>
    </row>
    <row r="11" spans="1:5" x14ac:dyDescent="0.3">
      <c r="A11" s="2" t="s">
        <v>10</v>
      </c>
      <c r="B11" s="2" t="s">
        <v>119</v>
      </c>
      <c r="C11" s="2" t="s">
        <v>117</v>
      </c>
      <c r="D11" s="2" t="s">
        <v>137</v>
      </c>
      <c r="E11">
        <f t="shared" si="0"/>
        <v>0</v>
      </c>
    </row>
    <row r="12" spans="1:5" x14ac:dyDescent="0.3">
      <c r="A12" s="2" t="s">
        <v>11</v>
      </c>
      <c r="B12" s="2" t="s">
        <v>119</v>
      </c>
      <c r="C12" s="2" t="s">
        <v>117</v>
      </c>
      <c r="D12" s="2" t="s">
        <v>139</v>
      </c>
      <c r="E12">
        <f t="shared" si="0"/>
        <v>0</v>
      </c>
    </row>
    <row r="13" spans="1:5" x14ac:dyDescent="0.3">
      <c r="A13" s="2" t="s">
        <v>12</v>
      </c>
      <c r="B13" s="2" t="s">
        <v>119</v>
      </c>
      <c r="C13" s="2" t="s">
        <v>117</v>
      </c>
      <c r="D13" s="2" t="s">
        <v>137</v>
      </c>
      <c r="E13">
        <f t="shared" si="0"/>
        <v>0</v>
      </c>
    </row>
    <row r="14" spans="1:5" x14ac:dyDescent="0.3">
      <c r="A14" s="2" t="s">
        <v>13</v>
      </c>
      <c r="B14" s="2" t="s">
        <v>119</v>
      </c>
      <c r="C14" s="2" t="s">
        <v>117</v>
      </c>
      <c r="D14" s="2" t="s">
        <v>139</v>
      </c>
      <c r="E14">
        <f t="shared" si="0"/>
        <v>0</v>
      </c>
    </row>
    <row r="15" spans="1:5" x14ac:dyDescent="0.3">
      <c r="A15" s="2" t="s">
        <v>14</v>
      </c>
      <c r="B15" s="2" t="s">
        <v>119</v>
      </c>
      <c r="C15" s="2" t="s">
        <v>117</v>
      </c>
      <c r="D15" s="2" t="s">
        <v>139</v>
      </c>
      <c r="E15">
        <f t="shared" si="0"/>
        <v>0</v>
      </c>
    </row>
    <row r="16" spans="1:5" x14ac:dyDescent="0.3">
      <c r="A16" s="2" t="s">
        <v>15</v>
      </c>
      <c r="B16" s="2" t="s">
        <v>119</v>
      </c>
      <c r="C16" s="2" t="s">
        <v>117</v>
      </c>
      <c r="D16" s="2" t="s">
        <v>137</v>
      </c>
      <c r="E16">
        <f t="shared" si="0"/>
        <v>0</v>
      </c>
    </row>
    <row r="17" spans="1:5" x14ac:dyDescent="0.3">
      <c r="A17" s="2" t="s">
        <v>16</v>
      </c>
      <c r="B17" s="2" t="s">
        <v>119</v>
      </c>
      <c r="C17" s="2" t="s">
        <v>117</v>
      </c>
      <c r="D17" s="2" t="s">
        <v>137</v>
      </c>
      <c r="E17">
        <f t="shared" si="0"/>
        <v>0</v>
      </c>
    </row>
    <row r="18" spans="1:5" x14ac:dyDescent="0.3">
      <c r="A18" s="2" t="s">
        <v>17</v>
      </c>
      <c r="B18" s="2" t="s">
        <v>120</v>
      </c>
      <c r="C18" s="2" t="s">
        <v>140</v>
      </c>
      <c r="D18" s="2" t="s">
        <v>139</v>
      </c>
      <c r="E18">
        <f t="shared" si="0"/>
        <v>1</v>
      </c>
    </row>
    <row r="19" spans="1:5" x14ac:dyDescent="0.3">
      <c r="A19" s="2" t="s">
        <v>18</v>
      </c>
      <c r="B19" s="2" t="s">
        <v>120</v>
      </c>
      <c r="C19" s="2" t="s">
        <v>124</v>
      </c>
      <c r="D19" s="2" t="s">
        <v>118</v>
      </c>
      <c r="E19">
        <f t="shared" si="0"/>
        <v>1</v>
      </c>
    </row>
    <row r="20" spans="1:5" x14ac:dyDescent="0.3">
      <c r="A20" s="2" t="s">
        <v>19</v>
      </c>
      <c r="B20" s="2" t="s">
        <v>119</v>
      </c>
      <c r="C20" s="2" t="s">
        <v>117</v>
      </c>
      <c r="D20" s="2" t="s">
        <v>137</v>
      </c>
      <c r="E20">
        <f t="shared" si="0"/>
        <v>0</v>
      </c>
    </row>
    <row r="21" spans="1:5" x14ac:dyDescent="0.3">
      <c r="A21" s="2" t="s">
        <v>20</v>
      </c>
      <c r="B21" s="2" t="s">
        <v>119</v>
      </c>
      <c r="C21" s="2" t="s">
        <v>117</v>
      </c>
      <c r="D21" s="2" t="s">
        <v>118</v>
      </c>
      <c r="E21">
        <f t="shared" si="0"/>
        <v>0</v>
      </c>
    </row>
    <row r="22" spans="1:5" x14ac:dyDescent="0.3">
      <c r="A22" s="2" t="s">
        <v>21</v>
      </c>
      <c r="B22" s="2" t="s">
        <v>120</v>
      </c>
      <c r="C22" s="2" t="s">
        <v>140</v>
      </c>
      <c r="D22" s="2" t="s">
        <v>137</v>
      </c>
      <c r="E22">
        <f t="shared" si="0"/>
        <v>1</v>
      </c>
    </row>
    <row r="23" spans="1:5" x14ac:dyDescent="0.3">
      <c r="A23" s="2" t="s">
        <v>22</v>
      </c>
      <c r="B23" s="2" t="s">
        <v>119</v>
      </c>
      <c r="C23" s="2" t="s">
        <v>117</v>
      </c>
      <c r="D23" s="2" t="s">
        <v>137</v>
      </c>
      <c r="E23">
        <f t="shared" si="0"/>
        <v>0</v>
      </c>
    </row>
    <row r="24" spans="1:5" x14ac:dyDescent="0.3">
      <c r="A24" s="2" t="s">
        <v>23</v>
      </c>
      <c r="B24" s="2" t="s">
        <v>119</v>
      </c>
      <c r="C24" s="2" t="s">
        <v>117</v>
      </c>
      <c r="D24" s="2" t="s">
        <v>118</v>
      </c>
      <c r="E24">
        <f t="shared" si="0"/>
        <v>0</v>
      </c>
    </row>
    <row r="25" spans="1:5" x14ac:dyDescent="0.3">
      <c r="A25" s="2" t="s">
        <v>24</v>
      </c>
      <c r="B25" s="2" t="s">
        <v>119</v>
      </c>
      <c r="C25" s="2" t="s">
        <v>117</v>
      </c>
      <c r="D25" s="2" t="s">
        <v>139</v>
      </c>
      <c r="E25">
        <f t="shared" si="0"/>
        <v>0</v>
      </c>
    </row>
    <row r="26" spans="1:5" x14ac:dyDescent="0.3">
      <c r="A26" s="2" t="s">
        <v>25</v>
      </c>
      <c r="B26" s="2" t="s">
        <v>119</v>
      </c>
      <c r="C26" s="2" t="s">
        <v>117</v>
      </c>
      <c r="D26" s="2" t="s">
        <v>139</v>
      </c>
      <c r="E26">
        <f t="shared" si="0"/>
        <v>0</v>
      </c>
    </row>
    <row r="27" spans="1:5" x14ac:dyDescent="0.3">
      <c r="A27" s="2" t="s">
        <v>26</v>
      </c>
      <c r="B27" s="2" t="s">
        <v>119</v>
      </c>
      <c r="C27" s="2" t="s">
        <v>117</v>
      </c>
      <c r="D27" s="17" t="s">
        <v>137</v>
      </c>
      <c r="E27">
        <f t="shared" si="0"/>
        <v>0</v>
      </c>
    </row>
    <row r="28" spans="1:5" x14ac:dyDescent="0.3">
      <c r="A28" s="2" t="s">
        <v>27</v>
      </c>
      <c r="B28" s="2" t="s">
        <v>119</v>
      </c>
      <c r="C28" s="2" t="s">
        <v>117</v>
      </c>
      <c r="D28" s="2" t="s">
        <v>137</v>
      </c>
      <c r="E28">
        <f t="shared" si="0"/>
        <v>0</v>
      </c>
    </row>
    <row r="29" spans="1:5" x14ac:dyDescent="0.3">
      <c r="A29" s="2" t="s">
        <v>28</v>
      </c>
      <c r="B29" s="2" t="s">
        <v>119</v>
      </c>
      <c r="C29" s="2" t="s">
        <v>117</v>
      </c>
      <c r="D29" s="2" t="s">
        <v>137</v>
      </c>
      <c r="E29">
        <f t="shared" si="0"/>
        <v>0</v>
      </c>
    </row>
    <row r="30" spans="1:5" x14ac:dyDescent="0.3">
      <c r="A30" s="2" t="s">
        <v>29</v>
      </c>
      <c r="B30" s="2" t="s">
        <v>120</v>
      </c>
      <c r="C30" s="2" t="s">
        <v>140</v>
      </c>
      <c r="D30" s="2" t="s">
        <v>139</v>
      </c>
      <c r="E30">
        <f>IF(B30="Not used",0,1)</f>
        <v>1</v>
      </c>
    </row>
    <row r="31" spans="1:5" ht="100.8" x14ac:dyDescent="0.3">
      <c r="A31" s="2" t="s">
        <v>30</v>
      </c>
      <c r="B31" s="25" t="s">
        <v>121</v>
      </c>
      <c r="C31" s="2" t="s">
        <v>125</v>
      </c>
      <c r="D31" s="2" t="s">
        <v>137</v>
      </c>
      <c r="E31">
        <f t="shared" si="0"/>
        <v>1</v>
      </c>
    </row>
    <row r="32" spans="1:5" x14ac:dyDescent="0.3">
      <c r="A32" s="2" t="s">
        <v>31</v>
      </c>
      <c r="B32" s="2" t="s">
        <v>119</v>
      </c>
      <c r="C32" s="2" t="s">
        <v>117</v>
      </c>
      <c r="D32" s="2" t="s">
        <v>137</v>
      </c>
      <c r="E32">
        <f t="shared" si="0"/>
        <v>0</v>
      </c>
    </row>
    <row r="33" spans="1:5" x14ac:dyDescent="0.3">
      <c r="A33" s="2" t="s">
        <v>32</v>
      </c>
      <c r="B33" s="2" t="s">
        <v>119</v>
      </c>
      <c r="C33" s="2" t="s">
        <v>117</v>
      </c>
      <c r="D33" s="2" t="s">
        <v>139</v>
      </c>
      <c r="E33">
        <f t="shared" si="0"/>
        <v>0</v>
      </c>
    </row>
    <row r="34" spans="1:5" x14ac:dyDescent="0.3">
      <c r="A34" s="2" t="s">
        <v>33</v>
      </c>
      <c r="B34" s="2" t="s">
        <v>119</v>
      </c>
      <c r="C34" s="2" t="s">
        <v>117</v>
      </c>
      <c r="D34" s="2" t="s">
        <v>139</v>
      </c>
      <c r="E34">
        <f t="shared" si="0"/>
        <v>0</v>
      </c>
    </row>
    <row r="35" spans="1:5" x14ac:dyDescent="0.3">
      <c r="A35" s="2" t="s">
        <v>34</v>
      </c>
      <c r="B35" s="2" t="s">
        <v>119</v>
      </c>
      <c r="C35" s="2" t="s">
        <v>117</v>
      </c>
      <c r="D35" s="2" t="s">
        <v>137</v>
      </c>
      <c r="E35">
        <f t="shared" si="0"/>
        <v>0</v>
      </c>
    </row>
    <row r="36" spans="1:5" ht="22.8" customHeight="1" x14ac:dyDescent="0.3">
      <c r="A36" s="2" t="s">
        <v>35</v>
      </c>
      <c r="B36" s="2" t="s">
        <v>119</v>
      </c>
      <c r="C36" s="2" t="s">
        <v>117</v>
      </c>
      <c r="D36" s="2" t="s">
        <v>137</v>
      </c>
      <c r="E36">
        <f t="shared" si="0"/>
        <v>0</v>
      </c>
    </row>
    <row r="37" spans="1:5" x14ac:dyDescent="0.3">
      <c r="A37" s="2" t="s">
        <v>36</v>
      </c>
      <c r="B37" s="2" t="s">
        <v>119</v>
      </c>
      <c r="C37" s="2" t="s">
        <v>117</v>
      </c>
      <c r="D37" s="2" t="s">
        <v>139</v>
      </c>
      <c r="E37">
        <f>IF(B37="Not used",0,1)</f>
        <v>0</v>
      </c>
    </row>
    <row r="38" spans="1:5" ht="28.8" x14ac:dyDescent="0.3">
      <c r="A38" s="2" t="s">
        <v>37</v>
      </c>
      <c r="B38" s="2" t="s">
        <v>158</v>
      </c>
      <c r="C38" s="2" t="s">
        <v>141</v>
      </c>
      <c r="D38" s="2" t="s">
        <v>139</v>
      </c>
      <c r="E38">
        <f t="shared" si="0"/>
        <v>1</v>
      </c>
    </row>
    <row r="39" spans="1:5" x14ac:dyDescent="0.3">
      <c r="A39" s="2" t="s">
        <v>38</v>
      </c>
      <c r="B39" s="2" t="s">
        <v>119</v>
      </c>
      <c r="C39" s="2" t="s">
        <v>117</v>
      </c>
      <c r="D39" s="2" t="s">
        <v>138</v>
      </c>
      <c r="E39">
        <f t="shared" si="0"/>
        <v>0</v>
      </c>
    </row>
    <row r="40" spans="1:5" x14ac:dyDescent="0.3">
      <c r="A40" s="2" t="s">
        <v>39</v>
      </c>
      <c r="B40" s="2" t="s">
        <v>119</v>
      </c>
      <c r="C40" s="2" t="s">
        <v>117</v>
      </c>
      <c r="D40" s="2" t="s">
        <v>139</v>
      </c>
      <c r="E40">
        <f t="shared" si="0"/>
        <v>0</v>
      </c>
    </row>
    <row r="41" spans="1:5" x14ac:dyDescent="0.3">
      <c r="A41" s="2" t="s">
        <v>40</v>
      </c>
      <c r="B41" s="2" t="s">
        <v>119</v>
      </c>
      <c r="C41" s="2" t="s">
        <v>117</v>
      </c>
      <c r="D41" s="2" t="s">
        <v>139</v>
      </c>
      <c r="E41">
        <f t="shared" si="0"/>
        <v>0</v>
      </c>
    </row>
    <row r="42" spans="1:5" x14ac:dyDescent="0.3">
      <c r="A42" s="2" t="s">
        <v>41</v>
      </c>
      <c r="B42" s="2" t="s">
        <v>119</v>
      </c>
      <c r="C42" s="2" t="s">
        <v>117</v>
      </c>
      <c r="D42" s="2" t="s">
        <v>137</v>
      </c>
      <c r="E42">
        <f t="shared" si="0"/>
        <v>0</v>
      </c>
    </row>
    <row r="43" spans="1:5" ht="28.8" x14ac:dyDescent="0.3">
      <c r="A43" s="2" t="s">
        <v>42</v>
      </c>
      <c r="B43" s="26" t="s">
        <v>144</v>
      </c>
      <c r="C43" s="29" t="s">
        <v>126</v>
      </c>
      <c r="D43" s="2" t="s">
        <v>118</v>
      </c>
      <c r="E43">
        <f t="shared" si="0"/>
        <v>1</v>
      </c>
    </row>
    <row r="44" spans="1:5" x14ac:dyDescent="0.3">
      <c r="A44" s="2" t="s">
        <v>43</v>
      </c>
      <c r="B44" s="2" t="s">
        <v>120</v>
      </c>
      <c r="C44" s="2" t="s">
        <v>117</v>
      </c>
      <c r="D44" s="2" t="s">
        <v>139</v>
      </c>
      <c r="E44">
        <f t="shared" si="0"/>
        <v>1</v>
      </c>
    </row>
    <row r="45" spans="1:5" x14ac:dyDescent="0.3">
      <c r="A45" s="2" t="s">
        <v>44</v>
      </c>
      <c r="B45" s="2" t="s">
        <v>119</v>
      </c>
      <c r="C45" s="2" t="s">
        <v>117</v>
      </c>
      <c r="D45" s="2" t="s">
        <v>138</v>
      </c>
      <c r="E45">
        <f t="shared" si="0"/>
        <v>0</v>
      </c>
    </row>
    <row r="46" spans="1:5" x14ac:dyDescent="0.3">
      <c r="A46" s="2" t="s">
        <v>45</v>
      </c>
      <c r="B46" s="2" t="s">
        <v>119</v>
      </c>
      <c r="C46" s="2" t="s">
        <v>117</v>
      </c>
      <c r="D46" s="2" t="s">
        <v>139</v>
      </c>
      <c r="E46">
        <f t="shared" si="0"/>
        <v>0</v>
      </c>
    </row>
    <row r="47" spans="1:5" ht="28.8" x14ac:dyDescent="0.3">
      <c r="A47" s="2" t="s">
        <v>46</v>
      </c>
      <c r="B47" s="2" t="s">
        <v>119</v>
      </c>
      <c r="C47" s="2" t="s">
        <v>117</v>
      </c>
      <c r="D47" s="2" t="s">
        <v>137</v>
      </c>
      <c r="E47">
        <f t="shared" si="0"/>
        <v>0</v>
      </c>
    </row>
    <row r="48" spans="1:5" x14ac:dyDescent="0.3">
      <c r="A48" s="2" t="s">
        <v>47</v>
      </c>
      <c r="B48" s="2" t="s">
        <v>119</v>
      </c>
      <c r="C48" s="2" t="s">
        <v>117</v>
      </c>
      <c r="D48" s="2" t="s">
        <v>138</v>
      </c>
      <c r="E48">
        <f>IF(B48="Not used",0,1)</f>
        <v>0</v>
      </c>
    </row>
    <row r="49" spans="1:5" ht="28.8" x14ac:dyDescent="0.3">
      <c r="A49" s="2" t="s">
        <v>48</v>
      </c>
      <c r="B49" s="2" t="s">
        <v>157</v>
      </c>
      <c r="C49" s="2" t="s">
        <v>142</v>
      </c>
      <c r="D49" s="2" t="s">
        <v>137</v>
      </c>
      <c r="E49">
        <f t="shared" si="0"/>
        <v>1</v>
      </c>
    </row>
    <row r="50" spans="1:5" x14ac:dyDescent="0.3">
      <c r="A50" s="2" t="s">
        <v>49</v>
      </c>
      <c r="B50" s="2" t="s">
        <v>119</v>
      </c>
      <c r="C50" s="2" t="s">
        <v>117</v>
      </c>
      <c r="D50" s="2" t="s">
        <v>118</v>
      </c>
      <c r="E50">
        <f>IF(B50="Not used",0,1)</f>
        <v>0</v>
      </c>
    </row>
    <row r="51" spans="1:5" x14ac:dyDescent="0.3">
      <c r="A51" s="2" t="s">
        <v>50</v>
      </c>
      <c r="B51" s="2" t="s">
        <v>119</v>
      </c>
      <c r="C51" s="2" t="s">
        <v>117</v>
      </c>
      <c r="D51" s="2" t="s">
        <v>118</v>
      </c>
      <c r="E51">
        <f t="shared" ref="E51:E114" si="1">IF(B51="Not used",0,1)</f>
        <v>0</v>
      </c>
    </row>
    <row r="52" spans="1:5" ht="28.8" x14ac:dyDescent="0.3">
      <c r="A52" s="2" t="s">
        <v>51</v>
      </c>
      <c r="B52" s="2" t="s">
        <v>119</v>
      </c>
      <c r="C52" s="2" t="s">
        <v>117</v>
      </c>
      <c r="D52" s="2" t="s">
        <v>137</v>
      </c>
      <c r="E52">
        <f t="shared" si="1"/>
        <v>0</v>
      </c>
    </row>
    <row r="53" spans="1:5" x14ac:dyDescent="0.3">
      <c r="A53" s="2" t="s">
        <v>52</v>
      </c>
      <c r="B53" s="2" t="s">
        <v>119</v>
      </c>
      <c r="C53" s="2" t="s">
        <v>117</v>
      </c>
      <c r="D53" s="2" t="s">
        <v>137</v>
      </c>
      <c r="E53">
        <f t="shared" si="1"/>
        <v>0</v>
      </c>
    </row>
    <row r="54" spans="1:5" x14ac:dyDescent="0.3">
      <c r="A54" s="2" t="s">
        <v>53</v>
      </c>
      <c r="B54" s="2" t="s">
        <v>119</v>
      </c>
      <c r="C54" s="2" t="s">
        <v>117</v>
      </c>
      <c r="D54" s="2" t="s">
        <v>137</v>
      </c>
      <c r="E54">
        <f t="shared" si="1"/>
        <v>0</v>
      </c>
    </row>
    <row r="55" spans="1:5" x14ac:dyDescent="0.3">
      <c r="A55" s="2" t="s">
        <v>54</v>
      </c>
      <c r="B55" s="2" t="s">
        <v>119</v>
      </c>
      <c r="C55" s="2" t="s">
        <v>117</v>
      </c>
      <c r="D55" s="2" t="s">
        <v>137</v>
      </c>
      <c r="E55">
        <f t="shared" si="1"/>
        <v>0</v>
      </c>
    </row>
    <row r="56" spans="1:5" x14ac:dyDescent="0.3">
      <c r="A56" s="2" t="s">
        <v>55</v>
      </c>
      <c r="B56" s="2" t="s">
        <v>119</v>
      </c>
      <c r="C56" s="2" t="s">
        <v>117</v>
      </c>
      <c r="D56" s="2" t="s">
        <v>137</v>
      </c>
      <c r="E56">
        <f t="shared" si="1"/>
        <v>0</v>
      </c>
    </row>
    <row r="57" spans="1:5" x14ac:dyDescent="0.3">
      <c r="A57" s="2" t="s">
        <v>56</v>
      </c>
      <c r="B57" s="2" t="s">
        <v>119</v>
      </c>
      <c r="C57" s="2" t="s">
        <v>117</v>
      </c>
      <c r="D57" s="2" t="s">
        <v>137</v>
      </c>
      <c r="E57">
        <f t="shared" si="1"/>
        <v>0</v>
      </c>
    </row>
    <row r="58" spans="1:5" x14ac:dyDescent="0.3">
      <c r="A58" s="2" t="s">
        <v>57</v>
      </c>
      <c r="B58" s="2" t="s">
        <v>120</v>
      </c>
      <c r="C58" s="2" t="s">
        <v>140</v>
      </c>
      <c r="D58" s="2" t="s">
        <v>137</v>
      </c>
      <c r="E58">
        <f t="shared" si="1"/>
        <v>1</v>
      </c>
    </row>
    <row r="59" spans="1:5" x14ac:dyDescent="0.3">
      <c r="A59" s="2" t="s">
        <v>58</v>
      </c>
      <c r="B59" s="2" t="s">
        <v>119</v>
      </c>
      <c r="C59" s="2" t="s">
        <v>117</v>
      </c>
      <c r="D59" s="2" t="s">
        <v>137</v>
      </c>
      <c r="E59">
        <f>IF(B59="Not used",0,1)</f>
        <v>0</v>
      </c>
    </row>
    <row r="60" spans="1:5" ht="28.8" x14ac:dyDescent="0.3">
      <c r="A60" s="2" t="s">
        <v>59</v>
      </c>
      <c r="B60" s="2" t="s">
        <v>119</v>
      </c>
      <c r="C60" s="2" t="s">
        <v>117</v>
      </c>
      <c r="D60" s="2" t="s">
        <v>139</v>
      </c>
      <c r="E60">
        <f t="shared" si="1"/>
        <v>0</v>
      </c>
    </row>
    <row r="61" spans="1:5" x14ac:dyDescent="0.3">
      <c r="A61" s="2" t="s">
        <v>60</v>
      </c>
      <c r="B61" s="2" t="s">
        <v>120</v>
      </c>
      <c r="C61" s="2" t="s">
        <v>140</v>
      </c>
      <c r="D61" s="2" t="s">
        <v>139</v>
      </c>
      <c r="E61">
        <f>IF(B61="Not used",0,1)</f>
        <v>1</v>
      </c>
    </row>
    <row r="62" spans="1:5" x14ac:dyDescent="0.3">
      <c r="A62" s="2" t="s">
        <v>61</v>
      </c>
      <c r="B62" s="2" t="s">
        <v>119</v>
      </c>
      <c r="C62" s="2" t="s">
        <v>117</v>
      </c>
      <c r="D62" s="2" t="s">
        <v>137</v>
      </c>
      <c r="E62">
        <f t="shared" si="1"/>
        <v>0</v>
      </c>
    </row>
    <row r="63" spans="1:5" x14ac:dyDescent="0.3">
      <c r="A63" s="2" t="s">
        <v>62</v>
      </c>
      <c r="B63" s="2" t="s">
        <v>119</v>
      </c>
      <c r="C63" s="2" t="s">
        <v>117</v>
      </c>
      <c r="D63" s="2" t="s">
        <v>139</v>
      </c>
      <c r="E63">
        <f t="shared" si="1"/>
        <v>0</v>
      </c>
    </row>
    <row r="64" spans="1:5" x14ac:dyDescent="0.3">
      <c r="A64" s="2" t="s">
        <v>63</v>
      </c>
      <c r="B64" s="2" t="s">
        <v>120</v>
      </c>
      <c r="C64" s="2" t="s">
        <v>140</v>
      </c>
      <c r="D64" s="2" t="s">
        <v>139</v>
      </c>
      <c r="E64">
        <f t="shared" si="1"/>
        <v>1</v>
      </c>
    </row>
    <row r="65" spans="1:5" x14ac:dyDescent="0.3">
      <c r="A65" s="2" t="s">
        <v>64</v>
      </c>
      <c r="B65" s="2" t="s">
        <v>119</v>
      </c>
      <c r="C65" s="2" t="s">
        <v>117</v>
      </c>
      <c r="D65" s="2" t="s">
        <v>137</v>
      </c>
      <c r="E65">
        <f t="shared" si="1"/>
        <v>0</v>
      </c>
    </row>
    <row r="66" spans="1:5" ht="28.8" x14ac:dyDescent="0.3">
      <c r="A66" s="2" t="s">
        <v>65</v>
      </c>
      <c r="B66" s="2" t="s">
        <v>120</v>
      </c>
      <c r="C66" s="2" t="s">
        <v>127</v>
      </c>
      <c r="D66" s="2" t="s">
        <v>139</v>
      </c>
      <c r="E66">
        <f t="shared" si="1"/>
        <v>1</v>
      </c>
    </row>
    <row r="67" spans="1:5" x14ac:dyDescent="0.3">
      <c r="A67" s="2" t="s">
        <v>66</v>
      </c>
      <c r="B67" s="2" t="s">
        <v>120</v>
      </c>
      <c r="C67" s="2" t="s">
        <v>128</v>
      </c>
      <c r="D67" s="2" t="s">
        <v>139</v>
      </c>
      <c r="E67">
        <f t="shared" si="1"/>
        <v>1</v>
      </c>
    </row>
    <row r="68" spans="1:5" x14ac:dyDescent="0.3">
      <c r="A68" s="2" t="s">
        <v>67</v>
      </c>
      <c r="B68" s="2" t="s">
        <v>143</v>
      </c>
      <c r="C68" s="2" t="s">
        <v>129</v>
      </c>
      <c r="D68" s="18" t="s">
        <v>139</v>
      </c>
      <c r="E68">
        <f t="shared" si="1"/>
        <v>1</v>
      </c>
    </row>
    <row r="69" spans="1:5" x14ac:dyDescent="0.3">
      <c r="A69" s="2" t="s">
        <v>68</v>
      </c>
      <c r="B69" s="2" t="s">
        <v>119</v>
      </c>
      <c r="C69" s="2" t="s">
        <v>117</v>
      </c>
      <c r="D69" s="2" t="s">
        <v>138</v>
      </c>
      <c r="E69">
        <f t="shared" si="1"/>
        <v>0</v>
      </c>
    </row>
    <row r="70" spans="1:5" x14ac:dyDescent="0.3">
      <c r="A70" s="2" t="s">
        <v>69</v>
      </c>
      <c r="B70" s="11" t="s">
        <v>119</v>
      </c>
      <c r="C70" s="6" t="s">
        <v>117</v>
      </c>
      <c r="D70" s="14" t="s">
        <v>137</v>
      </c>
      <c r="E70">
        <f t="shared" si="1"/>
        <v>0</v>
      </c>
    </row>
    <row r="71" spans="1:5" x14ac:dyDescent="0.3">
      <c r="A71" s="2" t="s">
        <v>70</v>
      </c>
      <c r="B71" s="11" t="s">
        <v>119</v>
      </c>
      <c r="C71" s="6" t="s">
        <v>117</v>
      </c>
      <c r="D71" s="14" t="s">
        <v>139</v>
      </c>
      <c r="E71">
        <f t="shared" si="1"/>
        <v>0</v>
      </c>
    </row>
    <row r="72" spans="1:5" x14ac:dyDescent="0.3">
      <c r="A72" s="2" t="s">
        <v>71</v>
      </c>
      <c r="B72" s="2" t="s">
        <v>143</v>
      </c>
      <c r="C72" s="2" t="s">
        <v>130</v>
      </c>
      <c r="D72" s="2" t="s">
        <v>137</v>
      </c>
      <c r="E72">
        <f t="shared" si="1"/>
        <v>1</v>
      </c>
    </row>
    <row r="73" spans="1:5" x14ac:dyDescent="0.3">
      <c r="A73" s="2" t="s">
        <v>72</v>
      </c>
      <c r="B73" s="2" t="s">
        <v>119</v>
      </c>
      <c r="C73" s="2" t="s">
        <v>117</v>
      </c>
      <c r="D73" s="2" t="s">
        <v>137</v>
      </c>
      <c r="E73">
        <f t="shared" si="1"/>
        <v>0</v>
      </c>
    </row>
    <row r="74" spans="1:5" x14ac:dyDescent="0.3">
      <c r="A74" s="2" t="s">
        <v>73</v>
      </c>
      <c r="B74" s="2" t="s">
        <v>119</v>
      </c>
      <c r="C74" s="2" t="s">
        <v>117</v>
      </c>
      <c r="D74" s="2" t="s">
        <v>137</v>
      </c>
      <c r="E74">
        <f t="shared" si="1"/>
        <v>0</v>
      </c>
    </row>
    <row r="75" spans="1:5" x14ac:dyDescent="0.3">
      <c r="A75" s="2" t="s">
        <v>74</v>
      </c>
      <c r="B75" s="2" t="s">
        <v>119</v>
      </c>
      <c r="C75" s="2" t="s">
        <v>117</v>
      </c>
      <c r="D75" s="2" t="s">
        <v>137</v>
      </c>
      <c r="E75">
        <f t="shared" si="1"/>
        <v>0</v>
      </c>
    </row>
    <row r="76" spans="1:5" x14ac:dyDescent="0.3">
      <c r="A76" s="2" t="s">
        <v>75</v>
      </c>
      <c r="B76" s="2" t="s">
        <v>119</v>
      </c>
      <c r="C76" s="2" t="s">
        <v>117</v>
      </c>
      <c r="D76" s="2" t="s">
        <v>139</v>
      </c>
      <c r="E76">
        <f t="shared" si="1"/>
        <v>0</v>
      </c>
    </row>
    <row r="77" spans="1:5" ht="72" x14ac:dyDescent="0.3">
      <c r="A77" s="2" t="s">
        <v>76</v>
      </c>
      <c r="B77" s="27" t="s">
        <v>122</v>
      </c>
      <c r="C77" s="7" t="s">
        <v>131</v>
      </c>
      <c r="D77" s="12" t="s">
        <v>137</v>
      </c>
      <c r="E77">
        <f t="shared" si="1"/>
        <v>1</v>
      </c>
    </row>
    <row r="78" spans="1:5" x14ac:dyDescent="0.3">
      <c r="A78" s="2" t="s">
        <v>77</v>
      </c>
      <c r="B78" s="13" t="s">
        <v>119</v>
      </c>
      <c r="C78" s="8" t="s">
        <v>117</v>
      </c>
      <c r="D78" s="12" t="s">
        <v>137</v>
      </c>
      <c r="E78">
        <f t="shared" si="1"/>
        <v>0</v>
      </c>
    </row>
    <row r="79" spans="1:5" x14ac:dyDescent="0.3">
      <c r="A79" s="2" t="s">
        <v>78</v>
      </c>
      <c r="B79" s="13" t="s">
        <v>119</v>
      </c>
      <c r="C79" s="8" t="s">
        <v>117</v>
      </c>
      <c r="D79" s="12" t="s">
        <v>137</v>
      </c>
      <c r="E79">
        <f t="shared" si="1"/>
        <v>0</v>
      </c>
    </row>
    <row r="80" spans="1:5" x14ac:dyDescent="0.3">
      <c r="A80" s="2" t="s">
        <v>78</v>
      </c>
      <c r="B80" s="12" t="s">
        <v>119</v>
      </c>
      <c r="C80" s="7" t="s">
        <v>117</v>
      </c>
      <c r="D80" s="18" t="s">
        <v>139</v>
      </c>
      <c r="E80">
        <f t="shared" si="1"/>
        <v>0</v>
      </c>
    </row>
    <row r="81" spans="1:5" x14ac:dyDescent="0.3">
      <c r="A81" s="2" t="s">
        <v>79</v>
      </c>
      <c r="B81" s="13" t="s">
        <v>119</v>
      </c>
      <c r="C81" s="8" t="s">
        <v>117</v>
      </c>
      <c r="D81" s="12" t="s">
        <v>138</v>
      </c>
      <c r="E81">
        <f t="shared" si="1"/>
        <v>0</v>
      </c>
    </row>
    <row r="82" spans="1:5" x14ac:dyDescent="0.3">
      <c r="A82" s="2" t="s">
        <v>80</v>
      </c>
      <c r="B82" s="12" t="s">
        <v>119</v>
      </c>
      <c r="C82" s="7" t="s">
        <v>117</v>
      </c>
      <c r="D82" s="12" t="s">
        <v>137</v>
      </c>
      <c r="E82">
        <f t="shared" si="1"/>
        <v>0</v>
      </c>
    </row>
    <row r="83" spans="1:5" x14ac:dyDescent="0.3">
      <c r="A83" s="2" t="s">
        <v>81</v>
      </c>
      <c r="B83" s="12" t="s">
        <v>119</v>
      </c>
      <c r="C83" s="7" t="s">
        <v>117</v>
      </c>
      <c r="D83" s="12" t="s">
        <v>137</v>
      </c>
      <c r="E83">
        <f t="shared" si="1"/>
        <v>0</v>
      </c>
    </row>
    <row r="84" spans="1:5" ht="43.2" x14ac:dyDescent="0.3">
      <c r="A84" s="2" t="s">
        <v>82</v>
      </c>
      <c r="B84" s="27" t="s">
        <v>145</v>
      </c>
      <c r="C84" s="7" t="s">
        <v>146</v>
      </c>
      <c r="D84" s="12" t="s">
        <v>137</v>
      </c>
      <c r="E84">
        <f t="shared" si="1"/>
        <v>1</v>
      </c>
    </row>
    <row r="85" spans="1:5" ht="43.2" x14ac:dyDescent="0.3">
      <c r="A85" s="2" t="s">
        <v>83</v>
      </c>
      <c r="B85" s="27" t="s">
        <v>145</v>
      </c>
      <c r="C85" s="7" t="s">
        <v>132</v>
      </c>
      <c r="D85" s="12" t="s">
        <v>137</v>
      </c>
      <c r="E85">
        <f t="shared" si="1"/>
        <v>1</v>
      </c>
    </row>
    <row r="86" spans="1:5" x14ac:dyDescent="0.3">
      <c r="A86" s="2" t="s">
        <v>84</v>
      </c>
      <c r="B86" s="12" t="s">
        <v>119</v>
      </c>
      <c r="C86" s="7" t="s">
        <v>117</v>
      </c>
      <c r="D86" s="19" t="s">
        <v>137</v>
      </c>
      <c r="E86">
        <f t="shared" si="1"/>
        <v>0</v>
      </c>
    </row>
    <row r="87" spans="1:5" x14ac:dyDescent="0.3">
      <c r="A87" s="2" t="s">
        <v>85</v>
      </c>
      <c r="B87" s="13" t="s">
        <v>119</v>
      </c>
      <c r="C87" s="8" t="s">
        <v>117</v>
      </c>
      <c r="D87" s="19" t="s">
        <v>137</v>
      </c>
      <c r="E87">
        <f t="shared" si="1"/>
        <v>0</v>
      </c>
    </row>
    <row r="88" spans="1:5" x14ac:dyDescent="0.3">
      <c r="A88" s="2" t="s">
        <v>86</v>
      </c>
      <c r="B88" s="13" t="s">
        <v>119</v>
      </c>
      <c r="C88" s="8" t="s">
        <v>117</v>
      </c>
      <c r="D88" s="19" t="s">
        <v>138</v>
      </c>
      <c r="E88">
        <f t="shared" si="1"/>
        <v>0</v>
      </c>
    </row>
    <row r="89" spans="1:5" x14ac:dyDescent="0.3">
      <c r="A89" s="2" t="s">
        <v>87</v>
      </c>
      <c r="B89" s="13" t="s">
        <v>119</v>
      </c>
      <c r="C89" s="8" t="s">
        <v>117</v>
      </c>
      <c r="D89" s="19" t="s">
        <v>118</v>
      </c>
      <c r="E89">
        <f t="shared" si="1"/>
        <v>0</v>
      </c>
    </row>
    <row r="90" spans="1:5" x14ac:dyDescent="0.3">
      <c r="A90" s="2" t="s">
        <v>88</v>
      </c>
      <c r="B90" s="13" t="s">
        <v>119</v>
      </c>
      <c r="C90" s="8" t="s">
        <v>117</v>
      </c>
      <c r="D90" s="20" t="s">
        <v>139</v>
      </c>
      <c r="E90">
        <f t="shared" si="1"/>
        <v>0</v>
      </c>
    </row>
    <row r="91" spans="1:5" x14ac:dyDescent="0.3">
      <c r="A91" s="2" t="s">
        <v>89</v>
      </c>
      <c r="B91" s="13" t="s">
        <v>119</v>
      </c>
      <c r="C91" s="8" t="s">
        <v>117</v>
      </c>
      <c r="D91" s="20" t="s">
        <v>139</v>
      </c>
      <c r="E91">
        <f t="shared" si="1"/>
        <v>0</v>
      </c>
    </row>
    <row r="92" spans="1:5" x14ac:dyDescent="0.3">
      <c r="A92" s="2" t="s">
        <v>90</v>
      </c>
      <c r="B92" s="13" t="s">
        <v>119</v>
      </c>
      <c r="C92" s="8" t="s">
        <v>117</v>
      </c>
      <c r="D92" s="19" t="s">
        <v>118</v>
      </c>
      <c r="E92">
        <f t="shared" si="1"/>
        <v>0</v>
      </c>
    </row>
    <row r="93" spans="1:5" x14ac:dyDescent="0.3">
      <c r="A93" s="2" t="s">
        <v>91</v>
      </c>
      <c r="B93" s="13" t="s">
        <v>120</v>
      </c>
      <c r="C93" s="8" t="s">
        <v>147</v>
      </c>
      <c r="D93" s="19" t="s">
        <v>118</v>
      </c>
      <c r="E93">
        <f t="shared" si="1"/>
        <v>1</v>
      </c>
    </row>
    <row r="94" spans="1:5" x14ac:dyDescent="0.3">
      <c r="A94" s="2" t="s">
        <v>92</v>
      </c>
      <c r="B94" s="14" t="s">
        <v>120</v>
      </c>
      <c r="C94" s="28" t="s">
        <v>148</v>
      </c>
      <c r="D94" s="20" t="s">
        <v>139</v>
      </c>
      <c r="E94">
        <f t="shared" si="1"/>
        <v>1</v>
      </c>
    </row>
    <row r="95" spans="1:5" x14ac:dyDescent="0.3">
      <c r="A95" s="2" t="s">
        <v>93</v>
      </c>
      <c r="B95" s="11" t="s">
        <v>119</v>
      </c>
      <c r="C95" s="6" t="s">
        <v>117</v>
      </c>
      <c r="D95" s="19" t="s">
        <v>138</v>
      </c>
      <c r="E95">
        <f t="shared" si="1"/>
        <v>0</v>
      </c>
    </row>
    <row r="96" spans="1:5" x14ac:dyDescent="0.3">
      <c r="A96" s="2" t="s">
        <v>94</v>
      </c>
      <c r="B96" s="11" t="s">
        <v>119</v>
      </c>
      <c r="C96" s="6" t="s">
        <v>117</v>
      </c>
      <c r="D96" s="19" t="s">
        <v>139</v>
      </c>
      <c r="E96">
        <f t="shared" si="1"/>
        <v>0</v>
      </c>
    </row>
    <row r="97" spans="1:5" x14ac:dyDescent="0.3">
      <c r="A97" s="2" t="s">
        <v>95</v>
      </c>
      <c r="B97" s="5" t="s">
        <v>119</v>
      </c>
      <c r="C97" s="5" t="s">
        <v>117</v>
      </c>
      <c r="D97" s="19" t="s">
        <v>139</v>
      </c>
      <c r="E97">
        <f t="shared" si="1"/>
        <v>0</v>
      </c>
    </row>
    <row r="98" spans="1:5" x14ac:dyDescent="0.3">
      <c r="A98" s="2" t="s">
        <v>96</v>
      </c>
      <c r="B98" s="14" t="s">
        <v>119</v>
      </c>
      <c r="C98" s="9" t="s">
        <v>117</v>
      </c>
      <c r="D98" s="19" t="s">
        <v>137</v>
      </c>
      <c r="E98">
        <f t="shared" si="1"/>
        <v>0</v>
      </c>
    </row>
    <row r="99" spans="1:5" x14ac:dyDescent="0.3">
      <c r="A99" s="2" t="s">
        <v>97</v>
      </c>
      <c r="B99" s="11" t="s">
        <v>119</v>
      </c>
      <c r="C99" s="6" t="s">
        <v>117</v>
      </c>
      <c r="D99" s="19" t="s">
        <v>139</v>
      </c>
      <c r="E99">
        <f t="shared" si="1"/>
        <v>0</v>
      </c>
    </row>
    <row r="100" spans="1:5" x14ac:dyDescent="0.3">
      <c r="A100" s="2" t="s">
        <v>98</v>
      </c>
      <c r="B100" s="11" t="s">
        <v>119</v>
      </c>
      <c r="C100" s="6" t="s">
        <v>117</v>
      </c>
      <c r="D100" s="19" t="s">
        <v>137</v>
      </c>
      <c r="E100">
        <f t="shared" si="1"/>
        <v>0</v>
      </c>
    </row>
    <row r="101" spans="1:5" x14ac:dyDescent="0.3">
      <c r="A101" s="2" t="s">
        <v>99</v>
      </c>
      <c r="B101" s="11" t="s">
        <v>120</v>
      </c>
      <c r="C101" s="6" t="s">
        <v>133</v>
      </c>
      <c r="D101" s="19" t="s">
        <v>137</v>
      </c>
      <c r="E101">
        <f t="shared" si="1"/>
        <v>1</v>
      </c>
    </row>
    <row r="102" spans="1:5" x14ac:dyDescent="0.3">
      <c r="A102" s="2" t="s">
        <v>100</v>
      </c>
      <c r="B102" s="11" t="s">
        <v>119</v>
      </c>
      <c r="C102" s="6" t="s">
        <v>117</v>
      </c>
      <c r="D102" s="19" t="s">
        <v>118</v>
      </c>
      <c r="E102">
        <f t="shared" si="1"/>
        <v>0</v>
      </c>
    </row>
    <row r="103" spans="1:5" ht="43.2" x14ac:dyDescent="0.3">
      <c r="A103" s="2" t="s">
        <v>101</v>
      </c>
      <c r="B103" s="15" t="s">
        <v>120</v>
      </c>
      <c r="C103" s="7" t="s">
        <v>134</v>
      </c>
      <c r="D103" s="15" t="s">
        <v>139</v>
      </c>
      <c r="E103">
        <f t="shared" si="1"/>
        <v>1</v>
      </c>
    </row>
    <row r="104" spans="1:5" x14ac:dyDescent="0.3">
      <c r="A104" s="2" t="s">
        <v>102</v>
      </c>
      <c r="B104" s="16" t="s">
        <v>119</v>
      </c>
      <c r="C104" s="10" t="s">
        <v>117</v>
      </c>
      <c r="D104" s="15" t="s">
        <v>137</v>
      </c>
      <c r="E104">
        <f t="shared" si="1"/>
        <v>0</v>
      </c>
    </row>
    <row r="105" spans="1:5" x14ac:dyDescent="0.3">
      <c r="A105" s="2" t="s">
        <v>103</v>
      </c>
      <c r="B105" s="16" t="s">
        <v>119</v>
      </c>
      <c r="C105" s="10" t="s">
        <v>117</v>
      </c>
      <c r="D105" s="15" t="s">
        <v>118</v>
      </c>
      <c r="E105">
        <f t="shared" si="1"/>
        <v>0</v>
      </c>
    </row>
    <row r="106" spans="1:5" x14ac:dyDescent="0.3">
      <c r="A106" s="2" t="s">
        <v>104</v>
      </c>
      <c r="B106" s="16" t="s">
        <v>119</v>
      </c>
      <c r="C106" s="10" t="s">
        <v>117</v>
      </c>
      <c r="D106" s="15" t="s">
        <v>137</v>
      </c>
      <c r="E106">
        <f t="shared" si="1"/>
        <v>0</v>
      </c>
    </row>
    <row r="107" spans="1:5" ht="28.8" x14ac:dyDescent="0.3">
      <c r="A107" s="2" t="s">
        <v>105</v>
      </c>
      <c r="B107" s="26" t="s">
        <v>149</v>
      </c>
      <c r="C107" s="8" t="s">
        <v>150</v>
      </c>
      <c r="D107" s="15" t="s">
        <v>139</v>
      </c>
      <c r="E107">
        <f t="shared" si="1"/>
        <v>1</v>
      </c>
    </row>
    <row r="108" spans="1:5" x14ac:dyDescent="0.3">
      <c r="A108" s="2" t="s">
        <v>106</v>
      </c>
      <c r="B108" s="16" t="s">
        <v>119</v>
      </c>
      <c r="C108" s="10" t="s">
        <v>117</v>
      </c>
      <c r="D108" s="15" t="s">
        <v>118</v>
      </c>
      <c r="E108">
        <f t="shared" si="1"/>
        <v>0</v>
      </c>
    </row>
    <row r="109" spans="1:5" x14ac:dyDescent="0.3">
      <c r="A109" s="2" t="s">
        <v>107</v>
      </c>
      <c r="B109" s="16" t="s">
        <v>119</v>
      </c>
      <c r="C109" s="10" t="s">
        <v>117</v>
      </c>
      <c r="D109" s="2" t="s">
        <v>139</v>
      </c>
      <c r="E109">
        <f t="shared" si="1"/>
        <v>0</v>
      </c>
    </row>
    <row r="110" spans="1:5" x14ac:dyDescent="0.3">
      <c r="A110" s="2" t="s">
        <v>108</v>
      </c>
      <c r="B110" s="2" t="s">
        <v>120</v>
      </c>
      <c r="C110" s="28" t="s">
        <v>148</v>
      </c>
      <c r="D110" s="2" t="s">
        <v>137</v>
      </c>
      <c r="E110">
        <f t="shared" si="1"/>
        <v>1</v>
      </c>
    </row>
    <row r="111" spans="1:5" x14ac:dyDescent="0.3">
      <c r="A111" s="2" t="s">
        <v>109</v>
      </c>
      <c r="B111" s="2" t="s">
        <v>120</v>
      </c>
      <c r="C111" s="28" t="s">
        <v>148</v>
      </c>
      <c r="D111" s="2" t="s">
        <v>118</v>
      </c>
      <c r="E111">
        <f t="shared" si="1"/>
        <v>1</v>
      </c>
    </row>
    <row r="112" spans="1:5" x14ac:dyDescent="0.3">
      <c r="A112" s="2" t="s">
        <v>110</v>
      </c>
      <c r="B112" s="25" t="s">
        <v>144</v>
      </c>
      <c r="C112" s="29" t="s">
        <v>151</v>
      </c>
      <c r="D112" s="2" t="s">
        <v>137</v>
      </c>
      <c r="E112">
        <f t="shared" si="1"/>
        <v>1</v>
      </c>
    </row>
    <row r="113" spans="1:5" x14ac:dyDescent="0.3">
      <c r="A113" s="3" t="s">
        <v>111</v>
      </c>
      <c r="B113" s="2" t="s">
        <v>119</v>
      </c>
      <c r="C113" s="2" t="s">
        <v>117</v>
      </c>
      <c r="D113" s="2" t="s">
        <v>138</v>
      </c>
      <c r="E113">
        <f t="shared" si="1"/>
        <v>0</v>
      </c>
    </row>
    <row r="114" spans="1:5" x14ac:dyDescent="0.3">
      <c r="A114" s="2" t="s">
        <v>112</v>
      </c>
      <c r="B114" s="2" t="s">
        <v>119</v>
      </c>
      <c r="C114" s="2" t="s">
        <v>117</v>
      </c>
      <c r="D114" s="2" t="s">
        <v>138</v>
      </c>
      <c r="E114">
        <f t="shared" si="1"/>
        <v>0</v>
      </c>
    </row>
    <row r="115" spans="1:5" x14ac:dyDescent="0.3">
      <c r="A115" s="2" t="s">
        <v>113</v>
      </c>
      <c r="B115" s="2" t="s">
        <v>119</v>
      </c>
      <c r="C115" s="2" t="s">
        <v>117</v>
      </c>
      <c r="D115" s="2" t="s">
        <v>137</v>
      </c>
      <c r="E115">
        <f t="shared" ref="E115:E138" si="2">IF(B115="Not used",0,1)</f>
        <v>0</v>
      </c>
    </row>
    <row r="116" spans="1:5" x14ac:dyDescent="0.3">
      <c r="A116" s="2" t="s">
        <v>114</v>
      </c>
      <c r="B116" s="2" t="s">
        <v>119</v>
      </c>
      <c r="C116" s="2" t="s">
        <v>117</v>
      </c>
      <c r="D116" s="18" t="s">
        <v>139</v>
      </c>
      <c r="E116">
        <f t="shared" si="2"/>
        <v>0</v>
      </c>
    </row>
    <row r="117" spans="1:5" x14ac:dyDescent="0.3">
      <c r="A117" s="2" t="s">
        <v>115</v>
      </c>
      <c r="B117" s="2" t="s">
        <v>120</v>
      </c>
      <c r="C117" s="28" t="s">
        <v>148</v>
      </c>
      <c r="D117" s="2" t="s">
        <v>118</v>
      </c>
      <c r="E117">
        <f t="shared" si="2"/>
        <v>1</v>
      </c>
    </row>
    <row r="118" spans="1:5" ht="28.8" x14ac:dyDescent="0.3">
      <c r="A118" s="2" t="s">
        <v>116</v>
      </c>
      <c r="B118" s="2" t="s">
        <v>156</v>
      </c>
      <c r="C118" s="2" t="s">
        <v>135</v>
      </c>
      <c r="D118" s="2" t="s">
        <v>137</v>
      </c>
      <c r="E118">
        <f t="shared" si="2"/>
        <v>1</v>
      </c>
    </row>
    <row r="119" spans="1:5" x14ac:dyDescent="0.3">
      <c r="A119" s="4" t="s">
        <v>162</v>
      </c>
      <c r="B119" s="4" t="s">
        <v>119</v>
      </c>
      <c r="C119" s="4" t="s">
        <v>117</v>
      </c>
      <c r="D119" s="4" t="s">
        <v>138</v>
      </c>
      <c r="E119">
        <f t="shared" si="2"/>
        <v>0</v>
      </c>
    </row>
    <row r="120" spans="1:5" x14ac:dyDescent="0.3">
      <c r="A120" s="4" t="s">
        <v>163</v>
      </c>
      <c r="B120" s="4" t="s">
        <v>119</v>
      </c>
      <c r="C120" s="4" t="s">
        <v>117</v>
      </c>
      <c r="D120" s="4" t="s">
        <v>118</v>
      </c>
      <c r="E120">
        <f t="shared" si="2"/>
        <v>0</v>
      </c>
    </row>
    <row r="121" spans="1:5" x14ac:dyDescent="0.3">
      <c r="A121" t="s">
        <v>164</v>
      </c>
      <c r="B121" s="4" t="s">
        <v>119</v>
      </c>
      <c r="C121" s="4" t="s">
        <v>117</v>
      </c>
      <c r="D121" s="4" t="s">
        <v>118</v>
      </c>
      <c r="E121">
        <f t="shared" si="2"/>
        <v>0</v>
      </c>
    </row>
    <row r="122" spans="1:5" x14ac:dyDescent="0.3">
      <c r="A122" s="4" t="s">
        <v>165</v>
      </c>
      <c r="B122" s="4" t="s">
        <v>119</v>
      </c>
      <c r="C122" s="4" t="s">
        <v>117</v>
      </c>
      <c r="D122" s="4" t="s">
        <v>138</v>
      </c>
      <c r="E122">
        <f t="shared" si="2"/>
        <v>0</v>
      </c>
    </row>
    <row r="123" spans="1:5" x14ac:dyDescent="0.3">
      <c r="A123" s="4" t="s">
        <v>166</v>
      </c>
      <c r="B123" s="4" t="s">
        <v>119</v>
      </c>
      <c r="C123" s="4" t="s">
        <v>117</v>
      </c>
      <c r="D123" s="31" t="s">
        <v>139</v>
      </c>
      <c r="E123">
        <f t="shared" si="2"/>
        <v>0</v>
      </c>
    </row>
    <row r="124" spans="1:5" x14ac:dyDescent="0.3">
      <c r="A124" s="4" t="s">
        <v>167</v>
      </c>
      <c r="B124" s="4" t="s">
        <v>119</v>
      </c>
      <c r="C124" s="4" t="s">
        <v>117</v>
      </c>
      <c r="D124" s="4" t="s">
        <v>137</v>
      </c>
      <c r="E124">
        <f t="shared" si="2"/>
        <v>0</v>
      </c>
    </row>
    <row r="125" spans="1:5" x14ac:dyDescent="0.3">
      <c r="A125" s="4" t="s">
        <v>168</v>
      </c>
      <c r="B125" s="4" t="s">
        <v>119</v>
      </c>
      <c r="C125" s="4" t="s">
        <v>117</v>
      </c>
      <c r="D125" s="4" t="s">
        <v>138</v>
      </c>
      <c r="E125">
        <f t="shared" si="2"/>
        <v>0</v>
      </c>
    </row>
    <row r="126" spans="1:5" x14ac:dyDescent="0.3">
      <c r="A126" s="4" t="s">
        <v>169</v>
      </c>
      <c r="B126" s="4" t="s">
        <v>119</v>
      </c>
      <c r="C126" s="4" t="s">
        <v>117</v>
      </c>
      <c r="D126" s="4" t="s">
        <v>137</v>
      </c>
      <c r="E126">
        <f t="shared" si="2"/>
        <v>0</v>
      </c>
    </row>
    <row r="127" spans="1:5" x14ac:dyDescent="0.3">
      <c r="A127" s="4" t="s">
        <v>170</v>
      </c>
      <c r="B127" s="4" t="s">
        <v>119</v>
      </c>
      <c r="C127" s="4" t="s">
        <v>117</v>
      </c>
      <c r="D127" s="4" t="s">
        <v>138</v>
      </c>
      <c r="E127">
        <f t="shared" si="2"/>
        <v>0</v>
      </c>
    </row>
    <row r="128" spans="1:5" x14ac:dyDescent="0.3">
      <c r="A128" s="4" t="s">
        <v>171</v>
      </c>
      <c r="B128" s="4" t="s">
        <v>119</v>
      </c>
      <c r="C128" s="4" t="s">
        <v>117</v>
      </c>
      <c r="D128" s="4" t="s">
        <v>137</v>
      </c>
      <c r="E128">
        <f t="shared" si="2"/>
        <v>0</v>
      </c>
    </row>
    <row r="129" spans="1:5" x14ac:dyDescent="0.3">
      <c r="A129" s="4" t="s">
        <v>172</v>
      </c>
      <c r="B129" s="4" t="s">
        <v>119</v>
      </c>
      <c r="C129" s="4" t="s">
        <v>117</v>
      </c>
      <c r="D129" s="4" t="s">
        <v>138</v>
      </c>
      <c r="E129">
        <f t="shared" si="2"/>
        <v>0</v>
      </c>
    </row>
    <row r="130" spans="1:5" x14ac:dyDescent="0.3">
      <c r="A130" s="4" t="s">
        <v>173</v>
      </c>
      <c r="B130" s="4" t="s">
        <v>119</v>
      </c>
      <c r="C130" s="4" t="s">
        <v>117</v>
      </c>
      <c r="D130" s="4" t="s">
        <v>137</v>
      </c>
      <c r="E130">
        <f t="shared" si="2"/>
        <v>0</v>
      </c>
    </row>
    <row r="131" spans="1:5" x14ac:dyDescent="0.3">
      <c r="A131" s="4" t="s">
        <v>174</v>
      </c>
      <c r="B131" s="4" t="s">
        <v>119</v>
      </c>
      <c r="C131" s="4" t="s">
        <v>117</v>
      </c>
      <c r="D131" s="4" t="s">
        <v>138</v>
      </c>
      <c r="E131">
        <f t="shared" si="2"/>
        <v>0</v>
      </c>
    </row>
    <row r="132" spans="1:5" x14ac:dyDescent="0.3">
      <c r="A132" s="4" t="s">
        <v>175</v>
      </c>
      <c r="B132" s="4" t="s">
        <v>119</v>
      </c>
      <c r="C132" s="4" t="s">
        <v>117</v>
      </c>
      <c r="D132" s="4" t="s">
        <v>137</v>
      </c>
      <c r="E132">
        <f t="shared" si="2"/>
        <v>0</v>
      </c>
    </row>
    <row r="133" spans="1:5" x14ac:dyDescent="0.3">
      <c r="A133" s="4" t="s">
        <v>176</v>
      </c>
      <c r="B133" s="4" t="s">
        <v>119</v>
      </c>
      <c r="C133" s="4" t="s">
        <v>117</v>
      </c>
      <c r="D133" s="4" t="s">
        <v>137</v>
      </c>
      <c r="E133">
        <f t="shared" si="2"/>
        <v>0</v>
      </c>
    </row>
    <row r="134" spans="1:5" x14ac:dyDescent="0.3">
      <c r="A134" s="4" t="s">
        <v>177</v>
      </c>
      <c r="B134" s="30" t="s">
        <v>120</v>
      </c>
      <c r="C134" s="28" t="s">
        <v>148</v>
      </c>
      <c r="D134" s="4" t="s">
        <v>137</v>
      </c>
      <c r="E134">
        <f t="shared" si="2"/>
        <v>1</v>
      </c>
    </row>
    <row r="135" spans="1:5" x14ac:dyDescent="0.3">
      <c r="A135" s="4" t="s">
        <v>177</v>
      </c>
      <c r="B135" s="4" t="s">
        <v>119</v>
      </c>
      <c r="C135" s="4" t="s">
        <v>117</v>
      </c>
      <c r="D135" s="4" t="s">
        <v>137</v>
      </c>
      <c r="E135">
        <f t="shared" si="2"/>
        <v>0</v>
      </c>
    </row>
    <row r="136" spans="1:5" x14ac:dyDescent="0.3">
      <c r="A136" s="4" t="s">
        <v>178</v>
      </c>
      <c r="B136" s="4" t="s">
        <v>119</v>
      </c>
      <c r="C136" s="4" t="s">
        <v>117</v>
      </c>
      <c r="D136" s="4" t="s">
        <v>118</v>
      </c>
      <c r="E136">
        <f t="shared" si="2"/>
        <v>0</v>
      </c>
    </row>
    <row r="137" spans="1:5" x14ac:dyDescent="0.3">
      <c r="A137" s="4" t="s">
        <v>178</v>
      </c>
      <c r="B137" s="30" t="s">
        <v>120</v>
      </c>
      <c r="C137" s="28" t="s">
        <v>148</v>
      </c>
      <c r="D137" s="4" t="s">
        <v>118</v>
      </c>
      <c r="E137">
        <f t="shared" si="2"/>
        <v>1</v>
      </c>
    </row>
    <row r="138" spans="1:5" x14ac:dyDescent="0.3">
      <c r="A138" s="4" t="s">
        <v>179</v>
      </c>
      <c r="B138" s="4" t="s">
        <v>119</v>
      </c>
      <c r="C138" s="4" t="s">
        <v>117</v>
      </c>
      <c r="D138" s="4" t="s">
        <v>118</v>
      </c>
      <c r="E138">
        <f t="shared" si="2"/>
        <v>0</v>
      </c>
    </row>
    <row r="139" spans="1:5" x14ac:dyDescent="0.3">
      <c r="E139">
        <f>SUM(E2:E138)</f>
        <v>32</v>
      </c>
    </row>
  </sheetData>
  <conditionalFormatting sqref="B1:B118 B139:B1048576">
    <cfRule type="cellIs" dxfId="6" priority="5" operator="equal">
      <formula>"Smartwatches"</formula>
    </cfRule>
  </conditionalFormatting>
  <conditionalFormatting sqref="B1:B118 B139:B1048576">
    <cfRule type="cellIs" dxfId="5" priority="3" operator="equal">
      <formula>"Smart ring"</formula>
    </cfRule>
    <cfRule type="cellIs" dxfId="4" priority="4" operator="equal">
      <formula>"Smart ring "</formula>
    </cfRule>
  </conditionalFormatting>
  <conditionalFormatting sqref="C1:C118 C139:C1048576">
    <cfRule type="cellIs" dxfId="3" priority="6" operator="equal">
      <formula>"Google Fitbit "</formula>
    </cfRule>
  </conditionalFormatting>
  <conditionalFormatting sqref="C2:C13 C15:C69 C72:C74 C76 C112:C116 C118 C139:C1048576">
    <cfRule type="cellIs" dxfId="2" priority="7" operator="equal">
      <formula>TRUE</formula>
    </cfRule>
  </conditionalFormatting>
  <conditionalFormatting sqref="C134">
    <cfRule type="cellIs" dxfId="1" priority="2" operator="equal">
      <formula>"Google Fitbit "</formula>
    </cfRule>
  </conditionalFormatting>
  <conditionalFormatting sqref="C137">
    <cfRule type="cellIs" dxfId="0" priority="1" operator="equal">
      <formula>"Google Fitbit "</formula>
    </cfRule>
  </conditionalFormatting>
  <dataValidations count="2">
    <dataValidation type="list" allowBlank="1" showInputMessage="1" showErrorMessage="1" sqref="B119:B138" xr:uid="{58FA6F60-0A72-40D2-A0D3-FCEAF53208B1}">
      <formula1>"Not used, Smartwatches, Smart Rings, Other Wearables, Tablet, Electronic Health Record, any other data, watch+ring "</formula1>
    </dataValidation>
    <dataValidation type="list" allowBlank="1" showInputMessage="1" showErrorMessage="1" sqref="D119:D122 D124:D138" xr:uid="{5893F45E-4EB3-4747-9C88-4B253CAD4055}">
      <formula1>"Classical ML, Deep Learning, Both"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DD9E5-B634-4B1F-96EB-A6E92A7D0AB6}">
  <dimension ref="A1:H2"/>
  <sheetViews>
    <sheetView workbookViewId="0">
      <selection activeCell="E3" sqref="E3"/>
    </sheetView>
  </sheetViews>
  <sheetFormatPr defaultRowHeight="14.4" x14ac:dyDescent="0.3"/>
  <cols>
    <col min="1" max="1" width="5.88671875" customWidth="1"/>
    <col min="2" max="2" width="10.88671875" bestFit="1" customWidth="1"/>
    <col min="3" max="3" width="10.88671875" customWidth="1"/>
    <col min="4" max="4" width="25.88671875" bestFit="1" customWidth="1"/>
    <col min="7" max="7" width="10.88671875" bestFit="1" customWidth="1"/>
  </cols>
  <sheetData>
    <row r="1" spans="1:8" x14ac:dyDescent="0.3">
      <c r="A1" s="24" t="s">
        <v>154</v>
      </c>
      <c r="B1" s="23" t="s">
        <v>155</v>
      </c>
      <c r="C1" s="23" t="s">
        <v>143</v>
      </c>
      <c r="D1" s="23" t="s">
        <v>159</v>
      </c>
      <c r="E1" s="23" t="s">
        <v>153</v>
      </c>
      <c r="F1" s="23" t="s">
        <v>160</v>
      </c>
      <c r="G1" s="23" t="s">
        <v>126</v>
      </c>
      <c r="H1" s="23" t="s">
        <v>129</v>
      </c>
    </row>
    <row r="2" spans="1:8" x14ac:dyDescent="0.3">
      <c r="A2" s="23">
        <v>32</v>
      </c>
      <c r="B2" s="23">
        <f>21+2</f>
        <v>23</v>
      </c>
      <c r="C2" s="23">
        <v>5</v>
      </c>
      <c r="D2" s="23">
        <v>7</v>
      </c>
      <c r="E2" s="23">
        <f>12+2</f>
        <v>14</v>
      </c>
      <c r="F2" s="23">
        <v>3</v>
      </c>
      <c r="G2" s="23">
        <v>3</v>
      </c>
      <c r="H2" s="2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Anoop Kadan</dc:creator>
  <cp:lastModifiedBy>Anoop Kadan</cp:lastModifiedBy>
  <dcterms:created xsi:type="dcterms:W3CDTF">2026-06-25T20:45:20Z</dcterms:created>
  <dcterms:modified xsi:type="dcterms:W3CDTF">2026-09-11T10:01:24Z</dcterms:modified>
</cp:coreProperties>
</file>