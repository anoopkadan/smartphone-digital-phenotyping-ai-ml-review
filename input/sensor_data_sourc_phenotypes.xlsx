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ak7u24_soton_ac_uk/Documents/Anoops Data/UOS/Professional/2_Research/Research Works In Progress/1_ systematic review - digital phenotyping/0_writing/input/"/>
    </mc:Choice>
  </mc:AlternateContent>
  <xr:revisionPtr revIDLastSave="684" documentId="8_{815EAC58-119E-45A3-827D-68CC7F5DC137}" xr6:coauthVersionLast="47" xr6:coauthVersionMax="47" xr10:uidLastSave="{E44DB74B-39F6-4095-9A1A-710FE8C87508}"/>
  <bookViews>
    <workbookView xWindow="-108" yWindow="-108" windowWidth="23256" windowHeight="12456" xr2:uid="{62EBDBC5-5B41-40A7-A091-45BEDA1EA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41" i="1" l="1"/>
  <c r="W140" i="1"/>
  <c r="W139" i="1"/>
  <c r="W3" i="1" a="1"/>
  <c r="W3" i="1"/>
  <c r="W4" i="1" a="1"/>
  <c r="W4" i="1" s="1"/>
  <c r="W5" i="1" a="1"/>
  <c r="W5" i="1"/>
  <c r="W6" i="1" a="1"/>
  <c r="W6" i="1"/>
  <c r="W7" i="1" a="1"/>
  <c r="W7" i="1"/>
  <c r="W8" i="1" a="1"/>
  <c r="W8" i="1"/>
  <c r="W9" i="1" a="1"/>
  <c r="W9" i="1"/>
  <c r="W10" i="1" a="1"/>
  <c r="W10" i="1"/>
  <c r="W11" i="1" a="1"/>
  <c r="W11" i="1" s="1"/>
  <c r="W12" i="1" a="1"/>
  <c r="W12" i="1"/>
  <c r="W13" i="1" a="1"/>
  <c r="W13" i="1"/>
  <c r="W14" i="1" a="1"/>
  <c r="W14" i="1"/>
  <c r="W15" i="1" a="1"/>
  <c r="W15" i="1"/>
  <c r="W16" i="1" a="1"/>
  <c r="W16" i="1"/>
  <c r="W17" i="1" a="1"/>
  <c r="W17" i="1"/>
  <c r="W18" i="1" a="1"/>
  <c r="W18" i="1" s="1"/>
  <c r="W19" i="1" a="1"/>
  <c r="W19" i="1"/>
  <c r="W20" i="1" a="1"/>
  <c r="W20" i="1"/>
  <c r="W21" i="1" a="1"/>
  <c r="W21" i="1"/>
  <c r="W22" i="1" a="1"/>
  <c r="W22" i="1"/>
  <c r="W23" i="1" a="1"/>
  <c r="W23" i="1"/>
  <c r="W24" i="1" a="1"/>
  <c r="W24" i="1"/>
  <c r="W25" i="1" a="1"/>
  <c r="W25" i="1" s="1"/>
  <c r="W26" i="1" a="1"/>
  <c r="W26" i="1"/>
  <c r="W27" i="1" a="1"/>
  <c r="W27" i="1"/>
  <c r="W28" i="1" a="1"/>
  <c r="W28" i="1"/>
  <c r="W29" i="1" a="1"/>
  <c r="W29" i="1"/>
  <c r="W30" i="1" a="1"/>
  <c r="W30" i="1"/>
  <c r="W31" i="1" a="1"/>
  <c r="W31" i="1"/>
  <c r="W32" i="1" a="1"/>
  <c r="W32" i="1" s="1"/>
  <c r="W33" i="1" a="1"/>
  <c r="W33" i="1"/>
  <c r="W34" i="1" a="1"/>
  <c r="W34" i="1"/>
  <c r="W35" i="1" a="1"/>
  <c r="W35" i="1"/>
  <c r="W36" i="1" a="1"/>
  <c r="W36" i="1"/>
  <c r="W37" i="1" a="1"/>
  <c r="W37" i="1"/>
  <c r="W38" i="1" a="1"/>
  <c r="W38" i="1"/>
  <c r="W39" i="1" a="1"/>
  <c r="W39" i="1" s="1"/>
  <c r="W40" i="1" a="1"/>
  <c r="W40" i="1"/>
  <c r="W41" i="1" a="1"/>
  <c r="W41" i="1"/>
  <c r="W42" i="1" a="1"/>
  <c r="W42" i="1"/>
  <c r="W43" i="1" a="1"/>
  <c r="W43" i="1"/>
  <c r="W44" i="1" a="1"/>
  <c r="W44" i="1"/>
  <c r="W45" i="1" a="1"/>
  <c r="W45" i="1"/>
  <c r="W46" i="1" a="1"/>
  <c r="W46" i="1" s="1"/>
  <c r="W47" i="1" a="1"/>
  <c r="W47" i="1"/>
  <c r="W48" i="1" a="1"/>
  <c r="W48" i="1"/>
  <c r="W49" i="1" a="1"/>
  <c r="W49" i="1"/>
  <c r="W50" i="1" a="1"/>
  <c r="W50" i="1"/>
  <c r="W51" i="1" a="1"/>
  <c r="W51" i="1"/>
  <c r="W52" i="1" a="1"/>
  <c r="W52" i="1"/>
  <c r="W53" i="1" a="1"/>
  <c r="W53" i="1" s="1"/>
  <c r="W54" i="1" a="1"/>
  <c r="W54" i="1"/>
  <c r="W55" i="1" a="1"/>
  <c r="W55" i="1"/>
  <c r="W56" i="1" a="1"/>
  <c r="W56" i="1"/>
  <c r="W57" i="1" a="1"/>
  <c r="W57" i="1"/>
  <c r="W58" i="1" a="1"/>
  <c r="W58" i="1"/>
  <c r="W59" i="1" a="1"/>
  <c r="W59" i="1"/>
  <c r="W60" i="1" a="1"/>
  <c r="W60" i="1" s="1"/>
  <c r="W61" i="1" a="1"/>
  <c r="W61" i="1"/>
  <c r="W62" i="1" a="1"/>
  <c r="W62" i="1"/>
  <c r="W63" i="1" a="1"/>
  <c r="W63" i="1"/>
  <c r="W64" i="1" a="1"/>
  <c r="W64" i="1"/>
  <c r="W65" i="1" a="1"/>
  <c r="W65" i="1"/>
  <c r="W66" i="1" a="1"/>
  <c r="W66" i="1"/>
  <c r="W67" i="1" a="1"/>
  <c r="W67" i="1" s="1"/>
  <c r="W68" i="1" a="1"/>
  <c r="W68" i="1"/>
  <c r="W69" i="1" a="1"/>
  <c r="W69" i="1"/>
  <c r="W70" i="1" a="1"/>
  <c r="W70" i="1"/>
  <c r="W71" i="1" a="1"/>
  <c r="W71" i="1"/>
  <c r="W72" i="1" a="1"/>
  <c r="W72" i="1"/>
  <c r="W73" i="1" a="1"/>
  <c r="W73" i="1"/>
  <c r="W74" i="1" a="1"/>
  <c r="W74" i="1" s="1"/>
  <c r="W75" i="1" a="1"/>
  <c r="W75" i="1"/>
  <c r="W76" i="1" a="1"/>
  <c r="W76" i="1"/>
  <c r="W77" i="1" a="1"/>
  <c r="W77" i="1"/>
  <c r="W78" i="1" a="1"/>
  <c r="W78" i="1"/>
  <c r="W79" i="1" a="1"/>
  <c r="W79" i="1"/>
  <c r="W80" i="1" a="1"/>
  <c r="W80" i="1"/>
  <c r="W81" i="1" a="1"/>
  <c r="W81" i="1" s="1"/>
  <c r="W82" i="1" a="1"/>
  <c r="W82" i="1"/>
  <c r="W83" i="1" a="1"/>
  <c r="W83" i="1"/>
  <c r="W84" i="1" a="1"/>
  <c r="W84" i="1"/>
  <c r="W85" i="1" a="1"/>
  <c r="W85" i="1"/>
  <c r="W86" i="1" a="1"/>
  <c r="W86" i="1"/>
  <c r="W87" i="1" a="1"/>
  <c r="W87" i="1"/>
  <c r="W88" i="1" a="1"/>
  <c r="W88" i="1" s="1"/>
  <c r="W89" i="1" a="1"/>
  <c r="W89" i="1"/>
  <c r="W90" i="1" a="1"/>
  <c r="W90" i="1"/>
  <c r="W91" i="1" a="1"/>
  <c r="W91" i="1" s="1"/>
  <c r="W92" i="1" a="1"/>
  <c r="W92" i="1"/>
  <c r="W93" i="1" a="1"/>
  <c r="W93" i="1"/>
  <c r="W94" i="1" a="1"/>
  <c r="W94" i="1"/>
  <c r="W95" i="1" a="1"/>
  <c r="W95" i="1" s="1"/>
  <c r="W96" i="1" a="1"/>
  <c r="W96" i="1"/>
  <c r="W97" i="1" a="1"/>
  <c r="W97" i="1"/>
  <c r="W98" i="1" a="1"/>
  <c r="W98" i="1"/>
  <c r="W99" i="1" a="1"/>
  <c r="W99" i="1"/>
  <c r="W100" i="1" a="1"/>
  <c r="W100" i="1"/>
  <c r="W101" i="1" a="1"/>
  <c r="W101" i="1"/>
  <c r="W102" i="1" a="1"/>
  <c r="W102" i="1" s="1"/>
  <c r="W103" i="1" a="1"/>
  <c r="W103" i="1"/>
  <c r="W104" i="1" a="1"/>
  <c r="W104" i="1"/>
  <c r="W105" i="1" a="1"/>
  <c r="W105" i="1"/>
  <c r="W106" i="1" a="1"/>
  <c r="W106" i="1"/>
  <c r="W107" i="1" a="1"/>
  <c r="W107" i="1"/>
  <c r="W108" i="1" a="1"/>
  <c r="W108" i="1"/>
  <c r="W109" i="1" a="1"/>
  <c r="W109" i="1" s="1"/>
  <c r="W110" i="1" a="1"/>
  <c r="W110" i="1"/>
  <c r="W111" i="1" a="1"/>
  <c r="W111" i="1"/>
  <c r="W112" i="1" a="1"/>
  <c r="W112" i="1"/>
  <c r="W113" i="1" a="1"/>
  <c r="W113" i="1"/>
  <c r="W114" i="1" a="1"/>
  <c r="W114" i="1"/>
  <c r="W115" i="1" a="1"/>
  <c r="W115" i="1"/>
  <c r="W116" i="1" a="1"/>
  <c r="W116" i="1" s="1"/>
  <c r="W117" i="1" a="1"/>
  <c r="W117" i="1"/>
  <c r="W118" i="1" a="1"/>
  <c r="W118" i="1"/>
  <c r="W2" i="1" a="1"/>
  <c r="W2" i="1" s="1"/>
  <c r="W121" i="1" l="1"/>
  <c r="W120" i="1"/>
  <c r="W119" i="1"/>
  <c r="W123" i="1" s="1"/>
  <c r="W124" i="1" l="1"/>
  <c r="W122" i="1"/>
  <c r="W127" i="1" s="1"/>
  <c r="W125" i="1" l="1"/>
  <c r="W126" i="1"/>
  <c r="W130" i="1" l="1"/>
  <c r="W128" i="1"/>
  <c r="W129" i="1"/>
  <c r="W132" i="1" l="1"/>
  <c r="W131" i="1"/>
  <c r="W133" i="1"/>
  <c r="W135" i="1" l="1"/>
  <c r="W136" i="1"/>
  <c r="W134" i="1"/>
  <c r="W138" i="1" l="1"/>
  <c r="W1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<sst xmlns="http://schemas.openxmlformats.org/spreadsheetml/2006/main" count="299" uniqueCount="211">
  <si>
    <t>Study Reference</t>
  </si>
  <si>
    <t>Aalbers et al. (2023)</t>
  </si>
  <si>
    <t>Bonaquist et al. (2021)</t>
  </si>
  <si>
    <t>Adler et al. (2020)</t>
  </si>
  <si>
    <t>Adler et al. (2022)</t>
  </si>
  <si>
    <t>Grunerbl et al. (2015)</t>
  </si>
  <si>
    <t>Andersen et al. (2023)</t>
  </si>
  <si>
    <t>Asare et al. (2021)</t>
  </si>
  <si>
    <t>Darmawan et al. (2021)</t>
  </si>
  <si>
    <t>Auerbach et al. (2022)</t>
  </si>
  <si>
    <t>Yuan et al. (2023)</t>
  </si>
  <si>
    <t>Barnett at al. (2018)</t>
  </si>
  <si>
    <t>Barrigon at al. (2023)</t>
  </si>
  <si>
    <t>Ben-Zeev at al. (2017)</t>
  </si>
  <si>
    <t>Ben-Zeev at al. (2015)</t>
  </si>
  <si>
    <t>Nguyen at al. (2021)</t>
  </si>
  <si>
    <t>Braund at al. (2023)</t>
  </si>
  <si>
    <t>Breitinger et al. (2023)</t>
  </si>
  <si>
    <t>Zou at al. (2023)</t>
  </si>
  <si>
    <t>Cai at al. (2020)</t>
  </si>
  <si>
    <t>Cao at al. (2017)</t>
  </si>
  <si>
    <t>Cho at al. (2019)</t>
  </si>
  <si>
    <t>Choudhary at al. (2022)</t>
  </si>
  <si>
    <t>Wu at al. (2023)</t>
  </si>
  <si>
    <t>Clery et al.. (2025)</t>
  </si>
  <si>
    <t>Cohen et al. (2023)</t>
  </si>
  <si>
    <t>Cohen et al. (2025)</t>
  </si>
  <si>
    <t>Currey et al. (2023)</t>
  </si>
  <si>
    <t>Currey et al. (2022)</t>
  </si>
  <si>
    <t>Angel et al. (2023)</t>
  </si>
  <si>
    <t>Kim et al. (2024)</t>
  </si>
  <si>
    <t>Matteo et al. (2021)</t>
  </si>
  <si>
    <t>Dissing et al. (2019)</t>
  </si>
  <si>
    <t>Dominiak et al. (2022)</t>
  </si>
  <si>
    <t>Edler et al. (2024)</t>
  </si>
  <si>
    <t>Garcia-Ceja et al. (2016)</t>
  </si>
  <si>
    <t>Fitz et al. (2019)</t>
  </si>
  <si>
    <t>Gardea-Resendez et al. (2024)</t>
  </si>
  <si>
    <t>Dong et al.(2021)</t>
  </si>
  <si>
    <t>Gillett et al. (2021)</t>
  </si>
  <si>
    <t>Goltermann et a. (2021)</t>
  </si>
  <si>
    <t>Gruenerbl et al. (2024)</t>
  </si>
  <si>
    <t>Hassantabar et al. (2022)</t>
  </si>
  <si>
    <t>Henson et al. (2021)</t>
  </si>
  <si>
    <t>Huang et al. (2018)</t>
  </si>
  <si>
    <t>Huang et al. (2017)</t>
  </si>
  <si>
    <t>Ikäheimonen et al. (2025)</t>
  </si>
  <si>
    <t>Jacobson el al. (2022)</t>
  </si>
  <si>
    <t>Jafarlou et al. (2024)</t>
  </si>
  <si>
    <t>Jean et al. (2025)</t>
  </si>
  <si>
    <t>Hsu et al. (2023)</t>
  </si>
  <si>
    <t>Kaczmarek-Majer et al. (2024)</t>
  </si>
  <si>
    <t>Kas at al. (2023)</t>
  </si>
  <si>
    <t>Krajchevska at al (2022)</t>
  </si>
  <si>
    <t>Sakaguchi et al. (2023)</t>
  </si>
  <si>
    <t>Lane et al. (2025)</t>
  </si>
  <si>
    <t>Leaning et al. (2025)</t>
  </si>
  <si>
    <t>LIU et al. (2021)</t>
  </si>
  <si>
    <t>LIU et al. (2022)</t>
  </si>
  <si>
    <t>Mahalingham et al. (2022)</t>
  </si>
  <si>
    <t>Matcham et al. (2022)</t>
  </si>
  <si>
    <t>McIntyre et al. (2021)</t>
  </si>
  <si>
    <t>Mehrotra et al. (2017)</t>
  </si>
  <si>
    <t>Meyer et al. (2018)</t>
  </si>
  <si>
    <t>Qirtas et al. (2022)</t>
  </si>
  <si>
    <t>Reich et al. (2025)</t>
  </si>
  <si>
    <t>Moran et al. (2024)</t>
  </si>
  <si>
    <t>Moshe et al. (2021)</t>
  </si>
  <si>
    <t>Nepal et al. (2022)</t>
  </si>
  <si>
    <t>Yamamoto et al. (2018)</t>
  </si>
  <si>
    <t>Odom et al. (2025)</t>
  </si>
  <si>
    <t>Asare et al. (2022)</t>
  </si>
  <si>
    <t>Andersen et al. (2022)</t>
  </si>
  <si>
    <t>Palmius et al. (2018)</t>
  </si>
  <si>
    <t>Park et al. (2022)</t>
  </si>
  <si>
    <t>Matias et al. (2024)</t>
  </si>
  <si>
    <t>Qirtas et al.(2023)</t>
  </si>
  <si>
    <t>Razavi et al. (2020)</t>
  </si>
  <si>
    <t>Ren et al. (2022)</t>
  </si>
  <si>
    <t>Fadul et al. (2023)</t>
  </si>
  <si>
    <t>Ryu et al. (2021)</t>
  </si>
  <si>
    <t>Saeb et al. (2015)</t>
  </si>
  <si>
    <t>Sano et al. (2015)</t>
  </si>
  <si>
    <t>Sano et al. (2018)</t>
  </si>
  <si>
    <t>Ghosh et al. (2022)</t>
  </si>
  <si>
    <t>Ghosh et al. (2019)</t>
  </si>
  <si>
    <t>Shin et al. (2023)</t>
  </si>
  <si>
    <t>Spathis et al. (2019)</t>
  </si>
  <si>
    <t>Stamatis et al. (2024)</t>
  </si>
  <si>
    <t>Stanković et al. (2021)</t>
  </si>
  <si>
    <t>Su et al. (2021)</t>
  </si>
  <si>
    <t>Sukei et a. (2021)</t>
  </si>
  <si>
    <t>Sun et al. (2023)</t>
  </si>
  <si>
    <t>Tabassum et al. (2023)</t>
  </si>
  <si>
    <t>Terhorst et al. (2025)</t>
  </si>
  <si>
    <t>Tlachac et al. (2024)</t>
  </si>
  <si>
    <t>Tlachac et al. (2023)</t>
  </si>
  <si>
    <t>Barnett et al. (2018)</t>
  </si>
  <si>
    <t>Wang et al. (2016)</t>
  </si>
  <si>
    <t>wang et al. (2018)</t>
  </si>
  <si>
    <t>wang et al. (2022)</t>
  </si>
  <si>
    <t>Wang et al. (2024)</t>
  </si>
  <si>
    <t>Wen et al. (2021)</t>
  </si>
  <si>
    <t>Gerych et al. (2019)</t>
  </si>
  <si>
    <t>Wu et al. (2018)</t>
  </si>
  <si>
    <t>Wyant et al. (2023)</t>
  </si>
  <si>
    <t>Ge et al. (2023)</t>
  </si>
  <si>
    <t>Gu et al. (2024)</t>
  </si>
  <si>
    <t>Xu et al. (2021)</t>
  </si>
  <si>
    <t>Xu et al. (2024)</t>
  </si>
  <si>
    <t>Yupanqui et al. (2024)</t>
  </si>
  <si>
    <t>Zhang et al. (2024)</t>
  </si>
  <si>
    <t>Zhang et al. (2019)</t>
  </si>
  <si>
    <t>Zhou  et al. (2022)</t>
  </si>
  <si>
    <t>Zulueta et al. (2018)</t>
  </si>
  <si>
    <t>Xu et al. (2025)</t>
  </si>
  <si>
    <t>Yang et al. (2023)</t>
  </si>
  <si>
    <t>call_logs</t>
  </si>
  <si>
    <t>SMS_logs</t>
  </si>
  <si>
    <t>notifications</t>
  </si>
  <si>
    <t>app_usage</t>
  </si>
  <si>
    <t>gps</t>
  </si>
  <si>
    <t>screen_time</t>
  </si>
  <si>
    <t>screen_lock_unlock</t>
  </si>
  <si>
    <t>bluetooth</t>
  </si>
  <si>
    <t>wifi</t>
  </si>
  <si>
    <t>accelerometer</t>
  </si>
  <si>
    <t>gyroscope</t>
  </si>
  <si>
    <t>ambient_air</t>
  </si>
  <si>
    <t>ambient_light</t>
  </si>
  <si>
    <t>ambient_sound</t>
  </si>
  <si>
    <t>keyboard</t>
  </si>
  <si>
    <t>microphone</t>
  </si>
  <si>
    <t>camera</t>
  </si>
  <si>
    <t>mh_domain</t>
  </si>
  <si>
    <t xml:space="preserve">Stress </t>
  </si>
  <si>
    <t>Depression</t>
  </si>
  <si>
    <t>Schizophrenia</t>
  </si>
  <si>
    <t>Stress</t>
  </si>
  <si>
    <t>Bipolar Disorder</t>
  </si>
  <si>
    <t xml:space="preserve">Schizophrenia </t>
  </si>
  <si>
    <t xml:space="preserve">Depression; stress; other </t>
  </si>
  <si>
    <t>Depression; Anxiety; Stress; Insomnia</t>
  </si>
  <si>
    <t>depression</t>
  </si>
  <si>
    <t xml:space="preserve">other </t>
  </si>
  <si>
    <t>depression; bipolar disorder</t>
  </si>
  <si>
    <t xml:space="preserve">anxiety </t>
  </si>
  <si>
    <t>Bipolar disorder</t>
  </si>
  <si>
    <t xml:space="preserve">schizophrenia </t>
  </si>
  <si>
    <t>depression; anxiety; schizophrenia</t>
  </si>
  <si>
    <t xml:space="preserve">anxiety; depression;stress, </t>
  </si>
  <si>
    <t>depression; anxiety</t>
  </si>
  <si>
    <t xml:space="preserve">depression </t>
  </si>
  <si>
    <t xml:space="preserve">anxiety; depression; ADHD </t>
  </si>
  <si>
    <t>stress</t>
  </si>
  <si>
    <t>Bipolar disorder; depression</t>
  </si>
  <si>
    <t xml:space="preserve">depression; anxiety </t>
  </si>
  <si>
    <t>anxiety; depression</t>
  </si>
  <si>
    <t>anxiety; depression; bipolar disorder</t>
  </si>
  <si>
    <t>bipolar affective disorder</t>
  </si>
  <si>
    <t>Bipolar disorder; depression; schizophrenia</t>
  </si>
  <si>
    <t>schizophrenia</t>
  </si>
  <si>
    <t>anxiety</t>
  </si>
  <si>
    <t xml:space="preserve">Bipolar Disorder </t>
  </si>
  <si>
    <t>stress; ADHD</t>
  </si>
  <si>
    <t>Loneliness</t>
  </si>
  <si>
    <t>Depression; anxiety; stress</t>
  </si>
  <si>
    <t xml:space="preserve">Anxiety; depression </t>
  </si>
  <si>
    <t>depressive symptoms</t>
  </si>
  <si>
    <t>stress; depression</t>
  </si>
  <si>
    <t>depression; other</t>
  </si>
  <si>
    <t>Anxiety</t>
  </si>
  <si>
    <t>Depression; stress; anxiety</t>
  </si>
  <si>
    <t>Depression; anxiety</t>
  </si>
  <si>
    <t>Depression; anxiety; stress; other</t>
  </si>
  <si>
    <t>depression; anxiety; stress;  other</t>
  </si>
  <si>
    <t>Bipolar disorders</t>
  </si>
  <si>
    <t>call_content</t>
  </si>
  <si>
    <t>SMS_content</t>
  </si>
  <si>
    <t>battery_charging</t>
  </si>
  <si>
    <t>median</t>
  </si>
  <si>
    <t>IQR1</t>
  </si>
  <si>
    <t>IQR3</t>
  </si>
  <si>
    <t>Wu et al. (2026)</t>
  </si>
  <si>
    <t>Feng et al. (2026)</t>
  </si>
  <si>
    <t>Zhang et al. (2026)</t>
  </si>
  <si>
    <t>Kirovska et al. (2026)</t>
  </si>
  <si>
    <t>Tang et al. (2026)</t>
  </si>
  <si>
    <t>Zamani et al. (2026)</t>
  </si>
  <si>
    <t>Ray et al. (2026)</t>
  </si>
  <si>
    <t>Lee et al. (2026)</t>
  </si>
  <si>
    <t>Zhang et al. (2025)</t>
  </si>
  <si>
    <t>Chowdhury et al. (2025)</t>
  </si>
  <si>
    <t>Patanè et al. (2025)</t>
  </si>
  <si>
    <t>Bonato et al. (2026)</t>
  </si>
  <si>
    <t>Kadirvelu et al. (2026)</t>
  </si>
  <si>
    <t>A et al. (2026)</t>
  </si>
  <si>
    <t>J et al. (2026)</t>
  </si>
  <si>
    <t>S et al. (2025)</t>
  </si>
  <si>
    <t>G et al. (2025)</t>
  </si>
  <si>
    <t>Kim et al. (2026)</t>
  </si>
  <si>
    <t>Anxiety; depression</t>
  </si>
  <si>
    <t>stress; mood; anxiety</t>
  </si>
  <si>
    <t>ADHD</t>
  </si>
  <si>
    <t xml:space="preserve">stress; mood; anxiety </t>
  </si>
  <si>
    <t>mood</t>
  </si>
  <si>
    <t xml:space="preserve">Depression; anxiety; stress </t>
  </si>
  <si>
    <t>Suicide risk</t>
  </si>
  <si>
    <t>insomnia; Suicide risk; eating disorder</t>
  </si>
  <si>
    <t>Mood; depression</t>
  </si>
  <si>
    <t xml:space="preserve">Stress; depression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</si>
</sst>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D08E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/>
    <xf numFmtId="0" fontId="2" fillId="0" borderId="0" xfId="0" applyFont="1" applyAlignment="1">
      <alignment wrapText="1"/>
    </xf>
    <xf numFmtId="0" fontId="2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/>
    <xf numFmtId="0" fontId="3" fillId="0" borderId="5" xfId="0" applyFont="1" applyBorder="1"/>
    <xf numFmtId="0" fontId="1" fillId="4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8" xfId="0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3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6" borderId="3" xfId="0" applyFont="1" applyFill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6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3" fillId="6" borderId="3" xfId="0" applyFont="1" applyFill="1" applyBorder="1"/>
    <xf numFmtId="0" fontId="3" fillId="0" borderId="7" xfId="0" applyFont="1" applyBorder="1"/>
    <xf numFmtId="0" fontId="5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4EDD-233E-4D60-BAC9-43C61C2A2DFB}">
  <dimension ref="A1:X141"/>
  <sheetViews>
    <sheetView tabSelected="1" topLeftCell="C118" zoomScale="85" zoomScaleNormal="85" workbookViewId="0">
      <selection activeCell="W142" sqref="W142"/>
    </sheetView>
  </sheetViews>
  <sheetFormatPr defaultRowHeight="14.4" x14ac:dyDescent="0.3"/>
  <cols>
    <col min="1" max="1" width="20.5546875" style="5" customWidth="1"/>
    <col min="2" max="2" width="23.88671875" style="3" customWidth="1"/>
    <col min="3" max="3" width="8.88671875" style="5"/>
    <col min="4" max="4" width="11.88671875" style="5" customWidth="1"/>
    <col min="5" max="5" width="11.44140625" style="5" customWidth="1"/>
    <col min="6" max="6" width="12.6640625" style="5" customWidth="1"/>
    <col min="7" max="7" width="11.6640625" style="5" customWidth="1"/>
    <col min="8" max="8" width="9.88671875" style="5" customWidth="1"/>
    <col min="9" max="9" width="6.33203125" style="5" bestFit="1" customWidth="1"/>
    <col min="10" max="10" width="12" style="5" customWidth="1"/>
    <col min="11" max="11" width="18.6640625" style="5" customWidth="1"/>
    <col min="12" max="12" width="9.88671875" style="5" bestFit="1" customWidth="1"/>
    <col min="13" max="13" width="6.33203125" style="5" bestFit="1" customWidth="1"/>
    <col min="14" max="14" width="13.6640625" style="5" customWidth="1"/>
    <col min="15" max="15" width="10.33203125" style="5" bestFit="1" customWidth="1"/>
    <col min="16" max="16" width="12" style="5" customWidth="1"/>
    <col min="17" max="17" width="14.33203125" style="5" customWidth="1"/>
    <col min="18" max="18" width="15.6640625" style="5" customWidth="1"/>
    <col min="19" max="19" width="9.44140625" style="5" bestFit="1" customWidth="1"/>
    <col min="20" max="20" width="11.6640625" style="5" bestFit="1" customWidth="1"/>
    <col min="21" max="22" width="8.88671875" style="5"/>
  </cols>
  <sheetData>
    <row r="1" spans="1:23" ht="28.8" x14ac:dyDescent="0.3">
      <c r="A1" s="1" t="s">
        <v>0</v>
      </c>
      <c r="B1" s="32" t="s">
        <v>134</v>
      </c>
      <c r="C1" s="12" t="s">
        <v>117</v>
      </c>
      <c r="D1" s="12" t="s">
        <v>177</v>
      </c>
      <c r="E1" s="12" t="s">
        <v>118</v>
      </c>
      <c r="F1" s="12" t="s">
        <v>178</v>
      </c>
      <c r="G1" s="12" t="s">
        <v>119</v>
      </c>
      <c r="H1" s="12" t="s">
        <v>120</v>
      </c>
      <c r="I1" s="12" t="s">
        <v>121</v>
      </c>
      <c r="J1" s="12" t="s">
        <v>122</v>
      </c>
      <c r="K1" s="12" t="s">
        <v>123</v>
      </c>
      <c r="L1" s="12" t="s">
        <v>124</v>
      </c>
      <c r="M1" s="12" t="s">
        <v>125</v>
      </c>
      <c r="N1" s="12" t="s">
        <v>126</v>
      </c>
      <c r="O1" s="12" t="s">
        <v>127</v>
      </c>
      <c r="P1" s="12" t="s">
        <v>128</v>
      </c>
      <c r="Q1" s="12" t="s">
        <v>129</v>
      </c>
      <c r="R1" s="12" t="s">
        <v>130</v>
      </c>
      <c r="S1" s="12" t="s">
        <v>131</v>
      </c>
      <c r="T1" s="12" t="s">
        <v>132</v>
      </c>
      <c r="U1" s="12" t="s">
        <v>133</v>
      </c>
      <c r="V1" s="12" t="s">
        <v>179</v>
      </c>
    </row>
    <row r="2" spans="1:23" x14ac:dyDescent="0.3">
      <c r="A2" s="2" t="s">
        <v>1</v>
      </c>
      <c r="B2" s="3" t="s">
        <v>135</v>
      </c>
      <c r="C2" s="3" t="b">
        <v>1</v>
      </c>
      <c r="D2" s="3" t="b">
        <v>0</v>
      </c>
      <c r="E2" s="3" t="b">
        <v>0</v>
      </c>
      <c r="F2" s="3" t="b">
        <v>0</v>
      </c>
      <c r="G2" s="3" t="b">
        <v>0</v>
      </c>
      <c r="H2" s="3" t="b">
        <v>1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  <c r="R2" s="3" t="b">
        <v>0</v>
      </c>
      <c r="S2" s="3" t="b">
        <v>0</v>
      </c>
      <c r="T2" s="3" t="b">
        <v>0</v>
      </c>
      <c r="U2" s="3" t="b">
        <v>0</v>
      </c>
      <c r="V2" s="3" t="b">
        <v>0</v>
      </c>
      <c r="W2" cm="1">
        <f t="array" ref="W2">SUM(--C2:V2)</f>
        <v>2</v>
      </c>
    </row>
    <row r="3" spans="1:23" x14ac:dyDescent="0.3">
      <c r="A3" s="3" t="s">
        <v>2</v>
      </c>
      <c r="B3" s="3" t="s">
        <v>136</v>
      </c>
      <c r="C3" s="3" t="b">
        <v>1</v>
      </c>
      <c r="D3" s="3" t="b">
        <v>0</v>
      </c>
      <c r="E3" s="3" t="b">
        <v>1</v>
      </c>
      <c r="F3" s="3" t="b">
        <v>0</v>
      </c>
      <c r="G3" s="3" t="b">
        <v>1</v>
      </c>
      <c r="H3" s="3" t="b">
        <v>1</v>
      </c>
      <c r="I3" s="3" t="b">
        <v>1</v>
      </c>
      <c r="J3" s="3" t="b">
        <v>1</v>
      </c>
      <c r="K3" s="3"/>
      <c r="L3" s="3" t="b">
        <v>1</v>
      </c>
      <c r="M3" s="3" t="b">
        <v>1</v>
      </c>
      <c r="N3" s="3" t="b">
        <v>1</v>
      </c>
      <c r="O3" s="3" t="b">
        <v>0</v>
      </c>
      <c r="P3" s="3" t="b">
        <v>0</v>
      </c>
      <c r="Q3" s="3" t="b">
        <v>0</v>
      </c>
      <c r="R3" s="3" t="b">
        <v>0</v>
      </c>
      <c r="S3" s="3" t="b">
        <v>0</v>
      </c>
      <c r="T3" s="3" t="b">
        <v>0</v>
      </c>
      <c r="U3" s="3" t="b">
        <v>0</v>
      </c>
      <c r="V3" s="3" t="b">
        <v>0</v>
      </c>
      <c r="W3" cm="1">
        <f t="array" ref="W3">SUM(--C3:V3)</f>
        <v>9</v>
      </c>
    </row>
    <row r="4" spans="1:23" x14ac:dyDescent="0.3">
      <c r="A4" s="3" t="s">
        <v>3</v>
      </c>
      <c r="B4" s="3" t="s">
        <v>137</v>
      </c>
      <c r="C4" s="3" t="b">
        <v>1</v>
      </c>
      <c r="D4" s="3" t="b">
        <v>0</v>
      </c>
      <c r="E4" s="3" t="b">
        <v>1</v>
      </c>
      <c r="F4" s="3" t="b">
        <v>0</v>
      </c>
      <c r="G4" s="3" t="b">
        <v>0</v>
      </c>
      <c r="H4" s="3" t="b">
        <v>1</v>
      </c>
      <c r="I4" s="3" t="b">
        <v>1</v>
      </c>
      <c r="J4" s="3" t="b">
        <v>1</v>
      </c>
      <c r="K4" s="3" t="b">
        <v>1</v>
      </c>
      <c r="L4" s="3" t="b">
        <v>0</v>
      </c>
      <c r="M4" s="3" t="b">
        <v>0</v>
      </c>
      <c r="N4" s="3" t="b">
        <v>1</v>
      </c>
      <c r="O4" s="3" t="b">
        <v>0</v>
      </c>
      <c r="P4" s="3" t="b">
        <v>0</v>
      </c>
      <c r="Q4" s="3" t="b">
        <v>1</v>
      </c>
      <c r="R4" s="3" t="b">
        <v>1</v>
      </c>
      <c r="S4" s="3" t="b">
        <v>0</v>
      </c>
      <c r="T4" s="3" t="b">
        <v>1</v>
      </c>
      <c r="U4" s="3" t="b">
        <v>0</v>
      </c>
      <c r="V4" s="3" t="b">
        <v>0</v>
      </c>
      <c r="W4" cm="1">
        <f t="array" ref="W4">SUM(--C4:V4)</f>
        <v>10</v>
      </c>
    </row>
    <row r="5" spans="1:23" x14ac:dyDescent="0.3">
      <c r="A5" s="3" t="s">
        <v>4</v>
      </c>
      <c r="B5" s="3" t="s">
        <v>138</v>
      </c>
      <c r="C5" s="3" t="b">
        <v>0</v>
      </c>
      <c r="D5" s="3" t="b">
        <v>0</v>
      </c>
      <c r="E5" s="3" t="b">
        <v>0</v>
      </c>
      <c r="F5" s="3" t="b">
        <v>0</v>
      </c>
      <c r="G5" s="3" t="b">
        <v>0</v>
      </c>
      <c r="H5" s="3" t="b">
        <v>0</v>
      </c>
      <c r="I5" s="3" t="b">
        <v>1</v>
      </c>
      <c r="J5" s="3" t="b">
        <v>0</v>
      </c>
      <c r="K5" s="3" t="b">
        <v>1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  <c r="R5" s="3" t="b">
        <v>0</v>
      </c>
      <c r="S5" s="3" t="b">
        <v>0</v>
      </c>
      <c r="T5" s="3" t="b">
        <v>1</v>
      </c>
      <c r="U5" s="3" t="b">
        <v>0</v>
      </c>
      <c r="V5" s="3" t="b">
        <v>0</v>
      </c>
      <c r="W5" cm="1">
        <f t="array" ref="W5">SUM(--C5:V5)</f>
        <v>3</v>
      </c>
    </row>
    <row r="6" spans="1:23" x14ac:dyDescent="0.3">
      <c r="A6" s="3" t="s">
        <v>5</v>
      </c>
      <c r="B6" s="3" t="s">
        <v>139</v>
      </c>
      <c r="C6" s="3" t="b">
        <v>1</v>
      </c>
      <c r="D6" s="3" t="b">
        <v>1</v>
      </c>
      <c r="E6" s="3" t="b">
        <v>0</v>
      </c>
      <c r="F6" s="3" t="b">
        <v>0</v>
      </c>
      <c r="G6" s="3" t="b">
        <v>0</v>
      </c>
      <c r="H6" s="3" t="b">
        <v>0</v>
      </c>
      <c r="I6" s="3" t="b">
        <v>1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  <c r="R6" s="3" t="b">
        <v>0</v>
      </c>
      <c r="S6" s="3" t="b">
        <v>0</v>
      </c>
      <c r="T6" s="3" t="b">
        <v>1</v>
      </c>
      <c r="U6" s="3" t="b">
        <v>0</v>
      </c>
      <c r="V6" s="3" t="b">
        <v>0</v>
      </c>
      <c r="W6" cm="1">
        <f t="array" ref="W6">SUM(--C6:V6)</f>
        <v>4</v>
      </c>
    </row>
    <row r="7" spans="1:23" x14ac:dyDescent="0.3">
      <c r="A7" s="3" t="s">
        <v>6</v>
      </c>
      <c r="B7" s="3" t="s">
        <v>210</v>
      </c>
      <c r="C7" s="3" t="b">
        <v>0</v>
      </c>
      <c r="D7" s="3" t="b">
        <v>0</v>
      </c>
      <c r="E7" s="3" t="b">
        <v>0</v>
      </c>
      <c r="F7" s="3" t="b">
        <v>0</v>
      </c>
      <c r="G7" s="3" t="b">
        <v>0</v>
      </c>
      <c r="H7" s="3" t="b">
        <v>1</v>
      </c>
      <c r="I7" s="3" t="b">
        <v>0</v>
      </c>
      <c r="J7" s="3" t="b">
        <v>1</v>
      </c>
      <c r="K7" s="3" t="b">
        <v>1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  <c r="R7" s="3" t="b">
        <v>0</v>
      </c>
      <c r="S7" s="3" t="b">
        <v>0</v>
      </c>
      <c r="T7" s="3" t="b">
        <v>0</v>
      </c>
      <c r="U7" s="3" t="b">
        <v>0</v>
      </c>
      <c r="V7" s="3" t="b">
        <v>0</v>
      </c>
      <c r="W7" cm="1">
        <f t="array" ref="W7">SUM(--C7:V7)</f>
        <v>3</v>
      </c>
    </row>
    <row r="8" spans="1:23" x14ac:dyDescent="0.3">
      <c r="A8" s="3" t="s">
        <v>7</v>
      </c>
      <c r="B8" s="3" t="s">
        <v>136</v>
      </c>
      <c r="C8" s="3" t="b">
        <v>0</v>
      </c>
      <c r="D8" s="3" t="b">
        <v>0</v>
      </c>
      <c r="E8" s="3" t="b">
        <v>0</v>
      </c>
      <c r="F8" s="3" t="b">
        <v>0</v>
      </c>
      <c r="G8" s="3" t="b">
        <v>0</v>
      </c>
      <c r="H8" s="3" t="b">
        <v>1</v>
      </c>
      <c r="I8" s="3" t="b">
        <v>0</v>
      </c>
      <c r="J8" s="3" t="b">
        <v>0</v>
      </c>
      <c r="K8" s="3" t="b">
        <v>1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  <c r="R8" s="3" t="b">
        <v>0</v>
      </c>
      <c r="S8" s="3" t="b">
        <v>0</v>
      </c>
      <c r="T8" s="3" t="b">
        <v>0</v>
      </c>
      <c r="U8" s="3" t="b">
        <v>0</v>
      </c>
      <c r="V8" s="3" t="b">
        <v>0</v>
      </c>
      <c r="W8" cm="1">
        <f t="array" ref="W8">SUM(--C8:V8)</f>
        <v>2</v>
      </c>
    </row>
    <row r="9" spans="1:23" ht="22.2" customHeight="1" x14ac:dyDescent="0.3">
      <c r="A9" s="3" t="s">
        <v>8</v>
      </c>
      <c r="B9" s="3" t="s">
        <v>138</v>
      </c>
      <c r="C9" s="3" t="b">
        <v>0</v>
      </c>
      <c r="D9" s="3" t="b">
        <v>0</v>
      </c>
      <c r="E9" s="3" t="b">
        <v>0</v>
      </c>
      <c r="F9" s="3" t="b">
        <v>0</v>
      </c>
      <c r="G9" s="3" t="b"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1</v>
      </c>
      <c r="O9" s="3" t="b">
        <v>1</v>
      </c>
      <c r="P9" s="3" t="b">
        <v>0</v>
      </c>
      <c r="Q9" s="3" t="b">
        <v>0</v>
      </c>
      <c r="R9" s="3" t="b">
        <v>0</v>
      </c>
      <c r="S9" s="3" t="b">
        <v>1</v>
      </c>
      <c r="T9" s="3" t="b">
        <v>0</v>
      </c>
      <c r="U9" s="3" t="b">
        <v>0</v>
      </c>
      <c r="V9" s="3" t="b">
        <v>0</v>
      </c>
      <c r="W9" cm="1">
        <f t="array" ref="W9">SUM(--C9:V9)</f>
        <v>3</v>
      </c>
    </row>
    <row r="10" spans="1:23" x14ac:dyDescent="0.3">
      <c r="A10" s="3" t="s">
        <v>9</v>
      </c>
      <c r="B10" s="3" t="s">
        <v>136</v>
      </c>
      <c r="C10" s="3" t="b">
        <v>0</v>
      </c>
      <c r="D10" s="3" t="b">
        <v>0</v>
      </c>
      <c r="E10" s="3" t="b">
        <v>0</v>
      </c>
      <c r="F10" s="3" t="b">
        <v>0</v>
      </c>
      <c r="G10" s="3" t="b">
        <v>0</v>
      </c>
      <c r="H10" s="3" t="b">
        <v>0</v>
      </c>
      <c r="I10" s="3" t="b">
        <v>1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  <c r="R10" s="3" t="b">
        <v>0</v>
      </c>
      <c r="S10" s="3" t="b">
        <v>0</v>
      </c>
      <c r="T10" s="3" t="b">
        <v>0</v>
      </c>
      <c r="U10" s="3" t="b">
        <v>0</v>
      </c>
      <c r="V10" s="3" t="b">
        <v>0</v>
      </c>
      <c r="W10" cm="1">
        <f t="array" ref="W10">SUM(--C10:V10)</f>
        <v>1</v>
      </c>
    </row>
    <row r="11" spans="1:23" x14ac:dyDescent="0.3">
      <c r="A11" s="3" t="s">
        <v>10</v>
      </c>
      <c r="B11" s="3" t="s">
        <v>136</v>
      </c>
      <c r="C11" s="3" t="b">
        <v>0</v>
      </c>
      <c r="D11" s="3" t="b">
        <v>0</v>
      </c>
      <c r="E11" s="3" t="b">
        <v>0</v>
      </c>
      <c r="F11" s="3" t="b">
        <v>0</v>
      </c>
      <c r="G11" s="3" t="b">
        <v>0</v>
      </c>
      <c r="H11" s="3" t="b">
        <v>0</v>
      </c>
      <c r="I11" s="3" t="b">
        <v>1</v>
      </c>
      <c r="J11" s="3" t="b">
        <v>0</v>
      </c>
      <c r="K11" s="3" t="b">
        <v>1</v>
      </c>
      <c r="L11" s="3" t="b">
        <v>1</v>
      </c>
      <c r="M11" s="3" t="b">
        <v>1</v>
      </c>
      <c r="N11" s="3" t="b">
        <v>1</v>
      </c>
      <c r="O11" s="3" t="b">
        <v>0</v>
      </c>
      <c r="P11" s="3" t="b">
        <v>0</v>
      </c>
      <c r="Q11" s="3" t="b">
        <v>0</v>
      </c>
      <c r="R11" s="3" t="b">
        <v>0</v>
      </c>
      <c r="S11" s="3" t="b">
        <v>0</v>
      </c>
      <c r="T11" s="3" t="b">
        <v>1</v>
      </c>
      <c r="U11" s="3" t="b">
        <v>0</v>
      </c>
      <c r="V11" s="3" t="b">
        <v>1</v>
      </c>
      <c r="W11" cm="1">
        <f t="array" ref="W11">SUM(--C11:V11)</f>
        <v>7</v>
      </c>
    </row>
    <row r="12" spans="1:23" x14ac:dyDescent="0.3">
      <c r="A12" s="3" t="s">
        <v>11</v>
      </c>
      <c r="B12" s="3" t="s">
        <v>140</v>
      </c>
      <c r="C12" s="3" t="b">
        <v>1</v>
      </c>
      <c r="D12" s="3" t="b">
        <v>0</v>
      </c>
      <c r="E12" s="3" t="b">
        <v>1</v>
      </c>
      <c r="F12" s="3" t="b">
        <v>0</v>
      </c>
      <c r="G12" s="3" t="b">
        <v>0</v>
      </c>
      <c r="H12" s="3" t="b">
        <v>0</v>
      </c>
      <c r="I12" s="3" t="b">
        <v>1</v>
      </c>
      <c r="J12" s="3" t="b">
        <v>0</v>
      </c>
      <c r="K12" s="3" t="b">
        <v>1</v>
      </c>
      <c r="L12" s="3" t="b">
        <v>0</v>
      </c>
      <c r="M12" s="3" t="b">
        <v>0</v>
      </c>
      <c r="N12" s="3" t="b">
        <v>1</v>
      </c>
      <c r="O12" s="3" t="b">
        <v>0</v>
      </c>
      <c r="P12" s="3" t="b">
        <v>0</v>
      </c>
      <c r="Q12" s="3" t="b">
        <v>0</v>
      </c>
      <c r="R12" s="3" t="b">
        <v>0</v>
      </c>
      <c r="S12" s="3" t="b">
        <v>0</v>
      </c>
      <c r="T12" s="3" t="b">
        <v>0</v>
      </c>
      <c r="U12" s="3" t="b">
        <v>0</v>
      </c>
      <c r="V12" s="3" t="b">
        <v>1</v>
      </c>
      <c r="W12" cm="1">
        <f t="array" ref="W12">SUM(--C12:V12)</f>
        <v>6</v>
      </c>
    </row>
    <row r="13" spans="1:23" x14ac:dyDescent="0.3">
      <c r="A13" s="3" t="s">
        <v>12</v>
      </c>
      <c r="B13" s="3" t="s">
        <v>207</v>
      </c>
      <c r="C13" s="3" t="b">
        <v>0</v>
      </c>
      <c r="D13" s="3" t="b">
        <v>0</v>
      </c>
      <c r="E13" s="3" t="b">
        <v>0</v>
      </c>
      <c r="F13" s="3" t="b">
        <v>0</v>
      </c>
      <c r="G13" s="3" t="b">
        <v>0</v>
      </c>
      <c r="H13" s="3" t="b">
        <v>1</v>
      </c>
      <c r="I13" s="3" t="b">
        <v>1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  <c r="R13" s="3" t="b">
        <v>0</v>
      </c>
      <c r="S13" s="3" t="b">
        <v>0</v>
      </c>
      <c r="T13" s="3" t="b">
        <v>0</v>
      </c>
      <c r="U13" s="3" t="b">
        <v>0</v>
      </c>
      <c r="V13" s="3" t="b">
        <v>0</v>
      </c>
      <c r="W13" cm="1">
        <f t="array" ref="W13">SUM(--C13:V13)</f>
        <v>2</v>
      </c>
    </row>
    <row r="14" spans="1:23" x14ac:dyDescent="0.3">
      <c r="A14" s="3" t="s">
        <v>13</v>
      </c>
      <c r="B14" s="3" t="s">
        <v>137</v>
      </c>
      <c r="C14" s="3" t="b">
        <v>1</v>
      </c>
      <c r="D14" s="3" t="b">
        <v>0</v>
      </c>
      <c r="E14" s="3" t="b">
        <v>1</v>
      </c>
      <c r="F14" s="3" t="b">
        <v>0</v>
      </c>
      <c r="G14" s="3" t="b">
        <v>0</v>
      </c>
      <c r="H14" s="3" t="b">
        <v>1</v>
      </c>
      <c r="I14" s="3" t="b">
        <v>1</v>
      </c>
      <c r="J14" s="3" t="b">
        <v>0</v>
      </c>
      <c r="K14" s="3" t="b">
        <v>1</v>
      </c>
      <c r="L14" s="3" t="b">
        <v>0</v>
      </c>
      <c r="M14" s="3" t="b">
        <v>1</v>
      </c>
      <c r="N14" s="3" t="b">
        <v>1</v>
      </c>
      <c r="O14" s="3" t="b">
        <v>0</v>
      </c>
      <c r="P14" s="3" t="b">
        <v>0</v>
      </c>
      <c r="Q14" s="3" t="b">
        <v>0</v>
      </c>
      <c r="R14" s="3" t="b">
        <v>1</v>
      </c>
      <c r="S14" s="3" t="b">
        <v>0</v>
      </c>
      <c r="T14" s="3" t="b">
        <v>1</v>
      </c>
      <c r="U14" s="3" t="b">
        <v>0</v>
      </c>
      <c r="V14" s="3" t="b">
        <v>0</v>
      </c>
      <c r="W14" cm="1">
        <f t="array" ref="W14">SUM(--C14:V14)</f>
        <v>9</v>
      </c>
    </row>
    <row r="15" spans="1:23" x14ac:dyDescent="0.3">
      <c r="A15" s="3" t="s">
        <v>14</v>
      </c>
      <c r="B15" s="3" t="s">
        <v>141</v>
      </c>
      <c r="C15" s="3" t="b">
        <v>0</v>
      </c>
      <c r="D15" s="3" t="b">
        <v>0</v>
      </c>
      <c r="E15" s="3" t="b">
        <v>0</v>
      </c>
      <c r="F15" s="3" t="b">
        <v>0</v>
      </c>
      <c r="G15" s="3" t="b">
        <v>0</v>
      </c>
      <c r="H15" s="3" t="b">
        <v>0</v>
      </c>
      <c r="I15" s="3" t="b">
        <v>1</v>
      </c>
      <c r="J15" s="3" t="b">
        <v>0</v>
      </c>
      <c r="K15" s="3" t="b">
        <v>1</v>
      </c>
      <c r="L15" s="3" t="b">
        <v>0</v>
      </c>
      <c r="M15" s="3" t="b">
        <v>1</v>
      </c>
      <c r="N15" s="3" t="b">
        <v>1</v>
      </c>
      <c r="O15" s="3" t="b">
        <v>0</v>
      </c>
      <c r="P15" s="3" t="b">
        <v>0</v>
      </c>
      <c r="Q15" s="3" t="b">
        <v>1</v>
      </c>
      <c r="R15" s="3" t="b">
        <v>1</v>
      </c>
      <c r="S15" s="3" t="b">
        <v>0</v>
      </c>
      <c r="T15" s="3" t="b">
        <v>1</v>
      </c>
      <c r="U15" s="3" t="b">
        <v>0</v>
      </c>
      <c r="V15" s="3" t="b">
        <v>0</v>
      </c>
      <c r="W15" cm="1">
        <f t="array" ref="W15">SUM(--C15:V15)</f>
        <v>7</v>
      </c>
    </row>
    <row r="16" spans="1:23" x14ac:dyDescent="0.3">
      <c r="A16" s="3" t="s">
        <v>15</v>
      </c>
      <c r="B16" s="3" t="s">
        <v>136</v>
      </c>
      <c r="C16" s="3" t="b">
        <v>0</v>
      </c>
      <c r="D16" s="3" t="b">
        <v>0</v>
      </c>
      <c r="E16" s="3" t="b">
        <v>0</v>
      </c>
      <c r="F16" s="3" t="b">
        <v>0</v>
      </c>
      <c r="G16" s="3" t="b">
        <v>0</v>
      </c>
      <c r="H16" s="3" t="b">
        <v>0</v>
      </c>
      <c r="I16" s="3" t="b">
        <v>1</v>
      </c>
      <c r="J16" s="3" t="b">
        <v>0</v>
      </c>
      <c r="K16" s="3" t="b">
        <v>1</v>
      </c>
      <c r="L16" s="3" t="b">
        <v>1</v>
      </c>
      <c r="M16" s="3" t="b">
        <v>1</v>
      </c>
      <c r="N16" s="3" t="b">
        <v>1</v>
      </c>
      <c r="O16" s="3" t="b">
        <v>0</v>
      </c>
      <c r="P16" s="3" t="b">
        <v>0</v>
      </c>
      <c r="Q16" s="3" t="b">
        <v>1</v>
      </c>
      <c r="R16" s="3" t="b">
        <v>0</v>
      </c>
      <c r="S16" s="3" t="b">
        <v>0</v>
      </c>
      <c r="T16" s="3" t="b">
        <v>1</v>
      </c>
      <c r="U16" s="3" t="b">
        <v>0</v>
      </c>
      <c r="V16" s="3" t="b">
        <v>1</v>
      </c>
      <c r="W16" cm="1">
        <f t="array" ref="W16">SUM(--C16:V16)</f>
        <v>8</v>
      </c>
    </row>
    <row r="17" spans="1:23" ht="28.8" x14ac:dyDescent="0.3">
      <c r="A17" s="3" t="s">
        <v>16</v>
      </c>
      <c r="B17" s="3" t="s">
        <v>142</v>
      </c>
      <c r="C17" s="3" t="b">
        <v>0</v>
      </c>
      <c r="D17" s="3" t="b">
        <v>0</v>
      </c>
      <c r="E17" s="3" t="b">
        <v>0</v>
      </c>
      <c r="F17" s="3" t="b">
        <v>0</v>
      </c>
      <c r="G17" s="3" t="b"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  <c r="R17" s="3" t="b">
        <v>0</v>
      </c>
      <c r="S17" s="3" t="b">
        <v>1</v>
      </c>
      <c r="T17" s="3" t="b">
        <v>0</v>
      </c>
      <c r="U17" s="3" t="b">
        <v>0</v>
      </c>
      <c r="V17" s="3" t="b">
        <v>0</v>
      </c>
      <c r="W17" cm="1">
        <f t="array" ref="W17">SUM(--C17:V17)</f>
        <v>1</v>
      </c>
    </row>
    <row r="18" spans="1:23" x14ac:dyDescent="0.3">
      <c r="A18" s="3" t="s">
        <v>17</v>
      </c>
      <c r="B18" s="3" t="s">
        <v>143</v>
      </c>
      <c r="C18" s="3" t="b">
        <v>1</v>
      </c>
      <c r="D18" s="3" t="b">
        <v>0</v>
      </c>
      <c r="E18" s="3" t="b">
        <v>1</v>
      </c>
      <c r="F18" s="3" t="b">
        <v>0</v>
      </c>
      <c r="G18" s="3" t="b">
        <v>0</v>
      </c>
      <c r="H18" s="3" t="b">
        <v>0</v>
      </c>
      <c r="I18" s="3" t="b">
        <v>1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  <c r="R18" s="3" t="b">
        <v>0</v>
      </c>
      <c r="S18" s="3" t="b">
        <v>0</v>
      </c>
      <c r="T18" s="3" t="b">
        <v>0</v>
      </c>
      <c r="U18" s="3" t="b">
        <v>0</v>
      </c>
      <c r="V18" s="3" t="b">
        <v>0</v>
      </c>
      <c r="W18" cm="1">
        <f t="array" ref="W18">SUM(--C18:V18)</f>
        <v>3</v>
      </c>
    </row>
    <row r="19" spans="1:23" x14ac:dyDescent="0.3">
      <c r="A19" s="3" t="s">
        <v>18</v>
      </c>
      <c r="B19" s="3" t="s">
        <v>143</v>
      </c>
      <c r="C19" s="3" t="b">
        <v>1</v>
      </c>
      <c r="D19" s="3" t="b">
        <v>0</v>
      </c>
      <c r="E19" s="3" t="b">
        <v>0</v>
      </c>
      <c r="F19" s="3" t="b">
        <v>0</v>
      </c>
      <c r="G19" s="3" t="b">
        <v>0</v>
      </c>
      <c r="H19" s="3" t="b">
        <v>1</v>
      </c>
      <c r="I19" s="3" t="b">
        <v>0</v>
      </c>
      <c r="J19" s="3" t="b">
        <v>1</v>
      </c>
      <c r="K19" s="13" t="b">
        <v>1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  <c r="R19" s="3" t="b">
        <v>0</v>
      </c>
      <c r="S19" s="3" t="b">
        <v>0</v>
      </c>
      <c r="T19" s="3" t="b">
        <v>0</v>
      </c>
      <c r="U19" s="3" t="b">
        <v>0</v>
      </c>
      <c r="V19" s="3" t="b">
        <v>0</v>
      </c>
      <c r="W19" cm="1">
        <f t="array" ref="W19">SUM(--C19:V19)</f>
        <v>4</v>
      </c>
    </row>
    <row r="20" spans="1:23" x14ac:dyDescent="0.3">
      <c r="A20" s="3" t="s">
        <v>19</v>
      </c>
      <c r="B20" s="3" t="s">
        <v>144</v>
      </c>
      <c r="C20" s="3" t="b">
        <v>1</v>
      </c>
      <c r="D20" s="3" t="b">
        <v>0</v>
      </c>
      <c r="E20" s="3" t="b">
        <v>1</v>
      </c>
      <c r="F20" s="3" t="b">
        <v>0</v>
      </c>
      <c r="G20" s="3" t="b">
        <v>0</v>
      </c>
      <c r="H20" s="3" t="b">
        <v>0</v>
      </c>
      <c r="I20" s="3" t="b">
        <v>1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1</v>
      </c>
      <c r="O20" s="3" t="b">
        <v>0</v>
      </c>
      <c r="P20" s="3" t="b">
        <v>0</v>
      </c>
      <c r="Q20" s="3" t="b">
        <v>0</v>
      </c>
      <c r="R20" s="3" t="b">
        <v>0</v>
      </c>
      <c r="S20" s="3" t="b">
        <v>0</v>
      </c>
      <c r="T20" s="3" t="b">
        <v>0</v>
      </c>
      <c r="U20" s="3" t="b">
        <v>0</v>
      </c>
      <c r="V20" s="3" t="b">
        <v>0</v>
      </c>
      <c r="W20" cm="1">
        <f t="array" ref="W20">SUM(--C20:V20)</f>
        <v>4</v>
      </c>
    </row>
    <row r="21" spans="1:23" x14ac:dyDescent="0.3">
      <c r="A21" s="3" t="s">
        <v>20</v>
      </c>
      <c r="B21" s="3" t="s">
        <v>139</v>
      </c>
      <c r="C21" s="3" t="b">
        <v>0</v>
      </c>
      <c r="D21" s="3" t="b">
        <v>0</v>
      </c>
      <c r="E21" s="3" t="b">
        <v>0</v>
      </c>
      <c r="F21" s="3" t="b">
        <v>0</v>
      </c>
      <c r="G21" s="3" t="b"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1</v>
      </c>
      <c r="O21" s="3" t="b">
        <v>0</v>
      </c>
      <c r="P21" s="3" t="b">
        <v>0</v>
      </c>
      <c r="Q21" s="3" t="b">
        <v>0</v>
      </c>
      <c r="R21" s="3" t="b">
        <v>0</v>
      </c>
      <c r="S21" s="3" t="b">
        <v>1</v>
      </c>
      <c r="T21" s="3" t="b">
        <v>0</v>
      </c>
      <c r="U21" s="3" t="b">
        <v>0</v>
      </c>
      <c r="V21" s="3" t="b">
        <v>0</v>
      </c>
      <c r="W21" cm="1">
        <f t="array" ref="W21">SUM(--C21:V21)</f>
        <v>2</v>
      </c>
    </row>
    <row r="22" spans="1:23" ht="28.8" x14ac:dyDescent="0.3">
      <c r="A22" s="3" t="s">
        <v>21</v>
      </c>
      <c r="B22" s="3" t="s">
        <v>145</v>
      </c>
      <c r="C22" s="3" t="b">
        <v>0</v>
      </c>
      <c r="D22" s="3" t="b">
        <v>0</v>
      </c>
      <c r="E22" s="3" t="b">
        <v>0</v>
      </c>
      <c r="F22" s="3" t="b">
        <v>0</v>
      </c>
      <c r="G22" s="3" t="b"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1</v>
      </c>
      <c r="R22" s="3" t="b">
        <v>0</v>
      </c>
      <c r="S22" s="3" t="b">
        <v>0</v>
      </c>
      <c r="T22" s="3" t="b">
        <v>0</v>
      </c>
      <c r="U22" s="3" t="b">
        <v>0</v>
      </c>
      <c r="V22" s="3" t="b">
        <v>0</v>
      </c>
      <c r="W22" cm="1">
        <f t="array" ref="W22">SUM(--C22:V22)</f>
        <v>1</v>
      </c>
    </row>
    <row r="23" spans="1:23" x14ac:dyDescent="0.3">
      <c r="A23" s="3" t="s">
        <v>22</v>
      </c>
      <c r="B23" s="3" t="s">
        <v>146</v>
      </c>
      <c r="C23" s="3" t="b">
        <v>0</v>
      </c>
      <c r="D23" s="3" t="b">
        <v>0</v>
      </c>
      <c r="E23" s="3" t="b">
        <v>0</v>
      </c>
      <c r="F23" s="3" t="b">
        <v>0</v>
      </c>
      <c r="G23" s="3" t="b">
        <v>0</v>
      </c>
      <c r="H23" s="3" t="b">
        <v>1</v>
      </c>
      <c r="I23" s="3" t="b">
        <v>0</v>
      </c>
      <c r="J23" s="3" t="b">
        <v>1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  <c r="R23" s="3" t="b">
        <v>0</v>
      </c>
      <c r="S23" s="3" t="b">
        <v>0</v>
      </c>
      <c r="T23" s="3" t="b">
        <v>0</v>
      </c>
      <c r="U23" s="3" t="b">
        <v>0</v>
      </c>
      <c r="V23" s="3" t="b">
        <v>0</v>
      </c>
      <c r="W23" cm="1">
        <f t="array" ref="W23">SUM(--C23:V23)</f>
        <v>2</v>
      </c>
    </row>
    <row r="24" spans="1:23" x14ac:dyDescent="0.3">
      <c r="A24" s="3" t="s">
        <v>23</v>
      </c>
      <c r="B24" s="3" t="s">
        <v>147</v>
      </c>
      <c r="C24" s="3" t="b">
        <v>0</v>
      </c>
      <c r="D24" s="3" t="b">
        <v>0</v>
      </c>
      <c r="E24" s="3" t="b">
        <v>0</v>
      </c>
      <c r="F24" s="3" t="b">
        <v>0</v>
      </c>
      <c r="G24" s="3" t="b">
        <v>0</v>
      </c>
      <c r="H24" s="3" t="b">
        <v>0</v>
      </c>
      <c r="I24" s="3" t="b">
        <v>1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  <c r="R24" s="3" t="b">
        <v>0</v>
      </c>
      <c r="S24" s="3" t="b">
        <v>0</v>
      </c>
      <c r="T24" s="3" t="b">
        <v>0</v>
      </c>
      <c r="U24" s="3" t="b">
        <v>0</v>
      </c>
      <c r="V24" s="3" t="b">
        <v>0</v>
      </c>
      <c r="W24" cm="1">
        <f t="array" ref="W24">SUM(--C24:V24)</f>
        <v>1</v>
      </c>
    </row>
    <row r="25" spans="1:23" ht="28.8" x14ac:dyDescent="0.3">
      <c r="A25" s="3" t="s">
        <v>24</v>
      </c>
      <c r="B25" s="3" t="s">
        <v>145</v>
      </c>
      <c r="C25" s="3" t="b">
        <v>0</v>
      </c>
      <c r="D25" s="3" t="b">
        <v>0</v>
      </c>
      <c r="E25" s="3" t="b">
        <v>0</v>
      </c>
      <c r="F25" s="3" t="b">
        <v>0</v>
      </c>
      <c r="G25" s="3" t="b">
        <v>0</v>
      </c>
      <c r="H25" s="3" t="b">
        <v>0</v>
      </c>
      <c r="I25" s="3" t="b">
        <v>1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  <c r="R25" s="3" t="b">
        <v>0</v>
      </c>
      <c r="S25" s="3" t="b">
        <v>0</v>
      </c>
      <c r="T25" s="3" t="b">
        <v>0</v>
      </c>
      <c r="U25" s="3" t="b">
        <v>0</v>
      </c>
      <c r="V25" s="3" t="b">
        <v>0</v>
      </c>
      <c r="W25" cm="1">
        <f t="array" ref="W25">SUM(--C25:V25)</f>
        <v>1</v>
      </c>
    </row>
    <row r="26" spans="1:23" x14ac:dyDescent="0.3">
      <c r="A26" s="3" t="s">
        <v>25</v>
      </c>
      <c r="B26" s="3" t="s">
        <v>148</v>
      </c>
      <c r="C26" s="3" t="b">
        <v>0</v>
      </c>
      <c r="D26" s="3" t="b">
        <v>0</v>
      </c>
      <c r="E26" s="3" t="b">
        <v>0</v>
      </c>
      <c r="F26" s="3" t="b">
        <v>0</v>
      </c>
      <c r="G26" s="3" t="b">
        <v>0</v>
      </c>
      <c r="H26" s="3" t="b">
        <v>0</v>
      </c>
      <c r="I26" s="3" t="b">
        <v>1</v>
      </c>
      <c r="J26" s="3" t="b">
        <v>0</v>
      </c>
      <c r="K26" s="3" t="b">
        <v>1</v>
      </c>
      <c r="L26" s="3" t="b">
        <v>0</v>
      </c>
      <c r="M26" s="3" t="b">
        <v>0</v>
      </c>
      <c r="N26" s="3" t="b">
        <v>1</v>
      </c>
      <c r="O26" s="3" t="b">
        <v>0</v>
      </c>
      <c r="P26" s="3" t="b">
        <v>0</v>
      </c>
      <c r="Q26" s="3" t="b">
        <v>0</v>
      </c>
      <c r="R26" s="3" t="b">
        <v>0</v>
      </c>
      <c r="S26" s="3" t="b">
        <v>0</v>
      </c>
      <c r="T26" s="3" t="b">
        <v>0</v>
      </c>
      <c r="U26" s="3" t="b">
        <v>0</v>
      </c>
      <c r="V26" s="3" t="b">
        <v>0</v>
      </c>
      <c r="W26" cm="1">
        <f t="array" ref="W26">SUM(--C26:V26)</f>
        <v>3</v>
      </c>
    </row>
    <row r="27" spans="1:23" ht="28.8" x14ac:dyDescent="0.3">
      <c r="A27" s="3" t="s">
        <v>26</v>
      </c>
      <c r="B27" s="3" t="s">
        <v>149</v>
      </c>
      <c r="C27" s="3" t="b">
        <v>0</v>
      </c>
      <c r="D27" s="3" t="b">
        <v>0</v>
      </c>
      <c r="E27" s="3" t="b">
        <v>0</v>
      </c>
      <c r="F27" s="3" t="b">
        <v>0</v>
      </c>
      <c r="G27" s="3" t="b">
        <v>0</v>
      </c>
      <c r="H27" s="3" t="b">
        <v>0</v>
      </c>
      <c r="I27" s="3" t="b">
        <v>1</v>
      </c>
      <c r="J27" s="3" t="b">
        <v>1</v>
      </c>
      <c r="K27" s="3" t="b">
        <v>0</v>
      </c>
      <c r="L27" s="3" t="b">
        <v>0</v>
      </c>
      <c r="M27" s="3" t="b">
        <v>0</v>
      </c>
      <c r="N27" s="3" t="b">
        <v>1</v>
      </c>
      <c r="O27" s="3" t="b">
        <v>0</v>
      </c>
      <c r="P27" s="3" t="b">
        <v>0</v>
      </c>
      <c r="Q27" s="3" t="b">
        <v>0</v>
      </c>
      <c r="R27" s="3" t="b">
        <v>0</v>
      </c>
      <c r="S27" s="3" t="b">
        <v>0</v>
      </c>
      <c r="T27" s="3" t="b">
        <v>0</v>
      </c>
      <c r="U27" s="3" t="b">
        <v>0</v>
      </c>
      <c r="V27" s="3" t="b">
        <v>0</v>
      </c>
      <c r="W27" cm="1">
        <f t="array" ref="W27">SUM(--C27:V27)</f>
        <v>3</v>
      </c>
    </row>
    <row r="28" spans="1:23" ht="28.8" x14ac:dyDescent="0.3">
      <c r="A28" s="3" t="s">
        <v>27</v>
      </c>
      <c r="B28" s="3" t="s">
        <v>150</v>
      </c>
      <c r="C28" s="3" t="b">
        <v>0</v>
      </c>
      <c r="D28" s="3" t="b">
        <v>0</v>
      </c>
      <c r="E28" s="3" t="b">
        <v>0</v>
      </c>
      <c r="F28" s="3" t="b">
        <v>0</v>
      </c>
      <c r="G28" s="3" t="b">
        <v>0</v>
      </c>
      <c r="H28" s="3" t="b">
        <v>0</v>
      </c>
      <c r="I28" s="3" t="b">
        <v>1</v>
      </c>
      <c r="J28" s="3" t="b">
        <v>1</v>
      </c>
      <c r="K28" s="3" t="b">
        <v>0</v>
      </c>
      <c r="L28" s="3" t="b">
        <v>0</v>
      </c>
      <c r="M28" s="3" t="b">
        <v>0</v>
      </c>
      <c r="N28" s="3" t="b">
        <v>1</v>
      </c>
      <c r="O28" s="3" t="b">
        <v>0</v>
      </c>
      <c r="P28" s="3" t="b">
        <v>0</v>
      </c>
      <c r="Q28" s="3" t="b">
        <v>0</v>
      </c>
      <c r="R28" s="3" t="b">
        <v>0</v>
      </c>
      <c r="S28" s="3" t="b">
        <v>0</v>
      </c>
      <c r="T28" s="3" t="b">
        <v>0</v>
      </c>
      <c r="U28" s="3" t="b">
        <v>0</v>
      </c>
      <c r="V28" s="3" t="b">
        <v>0</v>
      </c>
      <c r="W28" cm="1">
        <f t="array" ref="W28">SUM(--C28:V28)</f>
        <v>3</v>
      </c>
    </row>
    <row r="29" spans="1:23" x14ac:dyDescent="0.3">
      <c r="A29" s="3" t="s">
        <v>28</v>
      </c>
      <c r="B29" s="3" t="s">
        <v>151</v>
      </c>
      <c r="C29" s="3" t="b">
        <v>1</v>
      </c>
      <c r="D29" s="3" t="b">
        <v>0</v>
      </c>
      <c r="E29" s="3" t="b">
        <v>0</v>
      </c>
      <c r="F29" s="3" t="b">
        <v>0</v>
      </c>
      <c r="G29" s="3" t="b">
        <v>0</v>
      </c>
      <c r="H29" s="3"/>
      <c r="I29" s="3" t="b">
        <v>1</v>
      </c>
      <c r="J29" s="3" t="b">
        <v>1</v>
      </c>
      <c r="K29" s="3" t="b">
        <v>0</v>
      </c>
      <c r="L29" s="3" t="b">
        <v>1</v>
      </c>
      <c r="M29" s="3" t="b">
        <v>0</v>
      </c>
      <c r="N29" s="3" t="b">
        <v>1</v>
      </c>
      <c r="O29" s="3" t="b">
        <v>0</v>
      </c>
      <c r="P29" s="3" t="b">
        <v>0</v>
      </c>
      <c r="Q29" s="3" t="b">
        <v>0</v>
      </c>
      <c r="R29" s="3" t="b">
        <v>0</v>
      </c>
      <c r="S29" s="3" t="b">
        <v>0</v>
      </c>
      <c r="T29" s="3" t="b">
        <v>0</v>
      </c>
      <c r="U29" s="3" t="b">
        <v>0</v>
      </c>
      <c r="V29" s="3" t="b">
        <v>0</v>
      </c>
      <c r="W29" cm="1">
        <f t="array" ref="W29">SUM(--C29:V29)</f>
        <v>5</v>
      </c>
    </row>
    <row r="30" spans="1:23" x14ac:dyDescent="0.3">
      <c r="A30" s="3" t="s">
        <v>29</v>
      </c>
      <c r="B30" s="3" t="s">
        <v>152</v>
      </c>
      <c r="C30" s="3" t="b">
        <v>0</v>
      </c>
      <c r="D30" s="3" t="b">
        <v>0</v>
      </c>
      <c r="E30" s="3" t="b">
        <v>0</v>
      </c>
      <c r="F30" s="3" t="b">
        <v>0</v>
      </c>
      <c r="G30" s="3" t="b">
        <v>0</v>
      </c>
      <c r="H30" s="3" t="b">
        <v>0</v>
      </c>
      <c r="I30" s="3" t="b">
        <v>1</v>
      </c>
      <c r="J30" s="3" t="b">
        <v>0</v>
      </c>
      <c r="K30" s="3" t="b">
        <v>0</v>
      </c>
      <c r="L30" s="3" t="b">
        <v>1</v>
      </c>
      <c r="M30" s="3" t="b">
        <v>0</v>
      </c>
      <c r="N30" s="3" t="b">
        <v>1</v>
      </c>
      <c r="O30" s="3" t="b">
        <v>0</v>
      </c>
      <c r="P30" s="3" t="b">
        <v>0</v>
      </c>
      <c r="Q30" s="3" t="b">
        <v>0</v>
      </c>
      <c r="R30" s="3" t="b">
        <v>0</v>
      </c>
      <c r="S30" s="3" t="b">
        <v>0</v>
      </c>
      <c r="T30" s="3" t="b">
        <v>0</v>
      </c>
      <c r="U30" s="3" t="b">
        <v>0</v>
      </c>
      <c r="V30" s="3" t="b">
        <v>0</v>
      </c>
      <c r="W30" cm="1">
        <f t="array" ref="W30">SUM(--C30:V30)</f>
        <v>3</v>
      </c>
    </row>
    <row r="31" spans="1:23" x14ac:dyDescent="0.3">
      <c r="A31" s="3" t="s">
        <v>30</v>
      </c>
      <c r="B31" s="5" t="s">
        <v>153</v>
      </c>
      <c r="C31" s="3" t="b">
        <v>0</v>
      </c>
      <c r="D31" s="3" t="b">
        <v>0</v>
      </c>
      <c r="E31" s="3" t="b">
        <v>0</v>
      </c>
      <c r="F31" s="3" t="b">
        <v>0</v>
      </c>
      <c r="G31" s="3" t="b">
        <v>0</v>
      </c>
      <c r="H31" s="3" t="b">
        <v>1</v>
      </c>
      <c r="I31" s="3" t="b">
        <v>0</v>
      </c>
      <c r="J31" s="3" t="b">
        <v>1</v>
      </c>
      <c r="K31" s="3" t="b">
        <v>0</v>
      </c>
      <c r="L31" s="3" t="b">
        <v>0</v>
      </c>
      <c r="M31" s="3" t="b">
        <v>0</v>
      </c>
      <c r="N31" s="3" t="b">
        <v>1</v>
      </c>
      <c r="O31" s="3" t="b">
        <v>1</v>
      </c>
      <c r="P31" s="3" t="b">
        <v>0</v>
      </c>
      <c r="Q31" s="3" t="b">
        <v>1</v>
      </c>
      <c r="R31" s="3" t="b">
        <v>0</v>
      </c>
      <c r="S31" s="3" t="b">
        <v>0</v>
      </c>
      <c r="T31" s="3" t="b">
        <v>0</v>
      </c>
      <c r="U31" s="3" t="b">
        <v>0</v>
      </c>
      <c r="V31" s="3" t="b">
        <v>0</v>
      </c>
      <c r="W31" cm="1">
        <f t="array" ref="W31">SUM(--C31:V31)</f>
        <v>5</v>
      </c>
    </row>
    <row r="32" spans="1:23" x14ac:dyDescent="0.3">
      <c r="A32" s="3" t="s">
        <v>31</v>
      </c>
      <c r="B32" s="3" t="s">
        <v>157</v>
      </c>
      <c r="C32" s="3" t="b">
        <v>0</v>
      </c>
      <c r="D32" s="3" t="b">
        <v>0</v>
      </c>
      <c r="E32" s="3" t="b">
        <v>0</v>
      </c>
      <c r="F32" s="3" t="b">
        <v>0</v>
      </c>
      <c r="G32" s="3" t="b">
        <v>0</v>
      </c>
      <c r="H32" s="3" t="b">
        <v>0</v>
      </c>
      <c r="I32" s="3" t="b">
        <v>1</v>
      </c>
      <c r="J32" s="3" t="b">
        <v>0</v>
      </c>
      <c r="K32" s="3" t="b">
        <v>1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1</v>
      </c>
      <c r="R32" s="3" t="b">
        <v>0</v>
      </c>
      <c r="S32" s="3" t="b">
        <v>0</v>
      </c>
      <c r="T32" s="3" t="b">
        <v>1</v>
      </c>
      <c r="U32" s="3" t="b">
        <v>0</v>
      </c>
      <c r="V32" s="3" t="b">
        <v>0</v>
      </c>
      <c r="W32" cm="1">
        <f t="array" ref="W32">SUM(--C32:V32)</f>
        <v>4</v>
      </c>
    </row>
    <row r="33" spans="1:23" x14ac:dyDescent="0.3">
      <c r="A33" s="3" t="s">
        <v>32</v>
      </c>
      <c r="B33" s="3" t="s">
        <v>154</v>
      </c>
      <c r="C33" s="3" t="b">
        <v>1</v>
      </c>
      <c r="D33" s="3" t="b">
        <v>0</v>
      </c>
      <c r="E33" s="3" t="b">
        <v>1</v>
      </c>
      <c r="F33" s="3" t="b">
        <v>0</v>
      </c>
      <c r="G33" s="3" t="b"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1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  <c r="R33" s="3" t="b">
        <v>0</v>
      </c>
      <c r="S33" s="3" t="b">
        <v>0</v>
      </c>
      <c r="T33" s="3" t="b">
        <v>0</v>
      </c>
      <c r="U33" s="3" t="b">
        <v>0</v>
      </c>
      <c r="V33" s="3" t="b">
        <v>0</v>
      </c>
      <c r="W33" cm="1">
        <f t="array" ref="W33">SUM(--C33:V33)</f>
        <v>3</v>
      </c>
    </row>
    <row r="34" spans="1:23" ht="28.8" x14ac:dyDescent="0.3">
      <c r="A34" s="3" t="s">
        <v>33</v>
      </c>
      <c r="B34" s="3" t="s">
        <v>155</v>
      </c>
      <c r="C34" s="3" t="b">
        <v>1</v>
      </c>
      <c r="D34" s="3" t="b">
        <v>0</v>
      </c>
      <c r="E34" s="3" t="b">
        <v>1</v>
      </c>
      <c r="F34" s="3" t="b">
        <v>0</v>
      </c>
      <c r="G34" s="3" t="b"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  <c r="R34" s="3" t="b">
        <v>0</v>
      </c>
      <c r="S34" s="3" t="b">
        <v>0</v>
      </c>
      <c r="T34" s="3" t="b">
        <v>0</v>
      </c>
      <c r="U34" s="3" t="b">
        <v>0</v>
      </c>
      <c r="V34" s="3" t="b">
        <v>0</v>
      </c>
      <c r="W34" cm="1">
        <f t="array" ref="W34">SUM(--C34:V34)</f>
        <v>2</v>
      </c>
    </row>
    <row r="35" spans="1:23" x14ac:dyDescent="0.3">
      <c r="A35" s="3" t="s">
        <v>34</v>
      </c>
      <c r="B35" s="3" t="s">
        <v>156</v>
      </c>
      <c r="C35" s="3" t="b">
        <v>1</v>
      </c>
      <c r="D35" s="3" t="b">
        <v>0</v>
      </c>
      <c r="E35" s="3" t="b">
        <v>1</v>
      </c>
      <c r="F35" s="3" t="b">
        <v>0</v>
      </c>
      <c r="G35" s="3" t="b">
        <v>0</v>
      </c>
      <c r="H35" s="3" t="b">
        <v>1</v>
      </c>
      <c r="I35" s="3" t="b">
        <v>0</v>
      </c>
      <c r="J35" s="3" t="b">
        <v>1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  <c r="R35" s="3" t="b">
        <v>0</v>
      </c>
      <c r="S35" s="3" t="b">
        <v>0</v>
      </c>
      <c r="T35" s="3" t="b">
        <v>0</v>
      </c>
      <c r="U35" s="3" t="b">
        <v>0</v>
      </c>
      <c r="V35" s="3" t="b">
        <v>0</v>
      </c>
      <c r="W35" cm="1">
        <f t="array" ref="W35">SUM(--C35:V35)</f>
        <v>4</v>
      </c>
    </row>
    <row r="36" spans="1:23" ht="22.95" customHeight="1" x14ac:dyDescent="0.3">
      <c r="A36" s="3" t="s">
        <v>35</v>
      </c>
      <c r="B36" s="3" t="s">
        <v>154</v>
      </c>
      <c r="C36" s="3" t="b">
        <v>1</v>
      </c>
      <c r="D36" s="3" t="b">
        <v>0</v>
      </c>
      <c r="E36" s="3" t="b">
        <v>1</v>
      </c>
      <c r="F36" s="3" t="b">
        <v>0</v>
      </c>
      <c r="G36" s="3" t="b">
        <v>0</v>
      </c>
      <c r="H36" s="3" t="b">
        <v>1</v>
      </c>
      <c r="I36" s="3" t="b">
        <v>1</v>
      </c>
      <c r="J36" s="3" t="b">
        <v>0</v>
      </c>
      <c r="K36" s="3" t="b">
        <v>0</v>
      </c>
      <c r="L36" s="3" t="b">
        <v>0</v>
      </c>
      <c r="M36" s="3" t="b">
        <v>1</v>
      </c>
      <c r="N36" s="3" t="b">
        <v>1</v>
      </c>
      <c r="O36" s="3" t="b">
        <v>0</v>
      </c>
      <c r="P36" s="3" t="b">
        <v>0</v>
      </c>
      <c r="Q36" s="3" t="b">
        <v>0</v>
      </c>
      <c r="R36" s="3" t="b">
        <v>0</v>
      </c>
      <c r="S36" s="3" t="b">
        <v>0</v>
      </c>
      <c r="T36" s="3" t="b">
        <v>0</v>
      </c>
      <c r="U36" s="3" t="b">
        <v>0</v>
      </c>
      <c r="V36" s="3" t="b">
        <v>0</v>
      </c>
      <c r="W36" cm="1">
        <f t="array" ref="W36">SUM(--C36:V36)</f>
        <v>6</v>
      </c>
    </row>
    <row r="37" spans="1:23" x14ac:dyDescent="0.3">
      <c r="A37" s="3" t="s">
        <v>36</v>
      </c>
      <c r="B37" s="3" t="s">
        <v>144</v>
      </c>
      <c r="C37" s="3" t="b">
        <v>0</v>
      </c>
      <c r="D37" s="3" t="b">
        <v>0</v>
      </c>
      <c r="E37" s="3" t="b">
        <v>0</v>
      </c>
      <c r="F37" s="3" t="b">
        <v>0</v>
      </c>
      <c r="G37" s="3" t="b">
        <v>0</v>
      </c>
      <c r="H37" s="3" t="b">
        <v>0</v>
      </c>
      <c r="I37" s="3" t="b">
        <v>0</v>
      </c>
      <c r="J37" s="3" t="b">
        <v>0</v>
      </c>
      <c r="K37" s="3" t="b">
        <v>1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  <c r="R37" s="3" t="b">
        <v>0</v>
      </c>
      <c r="S37" s="3" t="b">
        <v>0</v>
      </c>
      <c r="T37" s="3" t="b">
        <v>0</v>
      </c>
      <c r="U37" s="3" t="b">
        <v>0</v>
      </c>
      <c r="V37" s="3" t="b">
        <v>0</v>
      </c>
      <c r="W37" cm="1">
        <f t="array" ref="W37">SUM(--C37:V37)</f>
        <v>1</v>
      </c>
    </row>
    <row r="38" spans="1:23" ht="28.8" x14ac:dyDescent="0.3">
      <c r="A38" s="3" t="s">
        <v>37</v>
      </c>
      <c r="B38" s="3" t="s">
        <v>143</v>
      </c>
      <c r="C38" s="3" t="b">
        <v>1</v>
      </c>
      <c r="D38" s="3" t="b">
        <v>0</v>
      </c>
      <c r="E38" s="3" t="b">
        <v>1</v>
      </c>
      <c r="F38" s="3" t="b">
        <v>0</v>
      </c>
      <c r="G38" s="3" t="b">
        <v>0</v>
      </c>
      <c r="H38" s="3" t="b">
        <v>0</v>
      </c>
      <c r="I38" s="3" t="b">
        <v>1</v>
      </c>
      <c r="J38" s="3" t="b">
        <v>1</v>
      </c>
      <c r="K38" s="3" t="b">
        <v>0</v>
      </c>
      <c r="L38" s="3" t="b">
        <v>0</v>
      </c>
      <c r="M38" s="3" t="b">
        <v>0</v>
      </c>
      <c r="N38" s="3" t="b">
        <v>1</v>
      </c>
      <c r="O38" s="3" t="b">
        <v>0</v>
      </c>
      <c r="P38" s="3" t="b">
        <v>0</v>
      </c>
      <c r="Q38" s="3" t="b">
        <v>0</v>
      </c>
      <c r="R38" s="3" t="b">
        <v>0</v>
      </c>
      <c r="S38" s="3" t="b">
        <v>0</v>
      </c>
      <c r="T38" s="3" t="b">
        <v>0</v>
      </c>
      <c r="U38" s="3" t="b">
        <v>0</v>
      </c>
      <c r="V38" s="3" t="b">
        <v>0</v>
      </c>
      <c r="W38" cm="1">
        <f t="array" ref="W38">SUM(--C38:V38)</f>
        <v>5</v>
      </c>
    </row>
    <row r="39" spans="1:23" x14ac:dyDescent="0.3">
      <c r="A39" s="3" t="s">
        <v>38</v>
      </c>
      <c r="B39" s="3" t="s">
        <v>157</v>
      </c>
      <c r="C39" s="3" t="b">
        <v>0</v>
      </c>
      <c r="D39" s="3" t="b">
        <v>0</v>
      </c>
      <c r="E39" s="3" t="b">
        <v>0</v>
      </c>
      <c r="F39" s="3" t="b">
        <v>0</v>
      </c>
      <c r="G39" s="3" t="b">
        <v>0</v>
      </c>
      <c r="H39" s="3" t="b">
        <v>1</v>
      </c>
      <c r="I39" s="3" t="b">
        <v>1</v>
      </c>
      <c r="J39" s="3" t="b">
        <v>0</v>
      </c>
      <c r="K39" s="3" t="b">
        <v>0</v>
      </c>
      <c r="L39" s="3" t="b">
        <v>1</v>
      </c>
      <c r="M39" s="3" t="b">
        <v>1</v>
      </c>
      <c r="N39" s="3" t="b">
        <v>1</v>
      </c>
      <c r="O39" s="3" t="b">
        <v>1</v>
      </c>
      <c r="P39" s="3" t="b">
        <v>0</v>
      </c>
      <c r="Q39" s="3" t="b">
        <v>0</v>
      </c>
      <c r="R39" s="3" t="b">
        <v>0</v>
      </c>
      <c r="S39" s="3" t="b">
        <v>0</v>
      </c>
      <c r="T39" s="3" t="b">
        <v>0</v>
      </c>
      <c r="U39" s="3" t="b">
        <v>0</v>
      </c>
      <c r="V39" s="3" t="b">
        <v>0</v>
      </c>
      <c r="W39" cm="1">
        <f t="array" ref="W39">SUM(--C39:V39)</f>
        <v>6</v>
      </c>
    </row>
    <row r="40" spans="1:23" x14ac:dyDescent="0.3">
      <c r="A40" s="3" t="s">
        <v>39</v>
      </c>
      <c r="B40" s="3" t="s">
        <v>139</v>
      </c>
      <c r="C40" s="3" t="b">
        <v>1</v>
      </c>
      <c r="D40" s="3" t="b">
        <v>0</v>
      </c>
      <c r="E40" s="3" t="b">
        <v>1</v>
      </c>
      <c r="F40" s="3" t="b">
        <v>0</v>
      </c>
      <c r="G40" s="3" t="b"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  <c r="R40" s="3" t="b">
        <v>0</v>
      </c>
      <c r="S40" s="3" t="b">
        <v>0</v>
      </c>
      <c r="T40" s="3" t="b">
        <v>0</v>
      </c>
      <c r="U40" s="3" t="b">
        <v>0</v>
      </c>
      <c r="V40" s="3" t="b">
        <v>0</v>
      </c>
      <c r="W40" cm="1">
        <f t="array" ref="W40">SUM(--C40:V40)</f>
        <v>2</v>
      </c>
    </row>
    <row r="41" spans="1:23" ht="28.8" x14ac:dyDescent="0.3">
      <c r="A41" s="3" t="s">
        <v>40</v>
      </c>
      <c r="B41" s="3" t="s">
        <v>158</v>
      </c>
      <c r="C41" s="3" t="b">
        <v>0</v>
      </c>
      <c r="D41" s="3" t="b">
        <v>0</v>
      </c>
      <c r="E41" s="3" t="b">
        <v>0</v>
      </c>
      <c r="F41" s="3" t="b">
        <v>0</v>
      </c>
      <c r="G41" s="3" t="b">
        <v>0</v>
      </c>
      <c r="H41" s="3" t="b">
        <v>0</v>
      </c>
      <c r="I41" s="3" t="b">
        <v>1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1</v>
      </c>
      <c r="O41" s="3" t="b">
        <v>0</v>
      </c>
      <c r="P41" s="3" t="b">
        <v>0</v>
      </c>
      <c r="Q41" s="3" t="b">
        <v>0</v>
      </c>
      <c r="R41" s="3" t="b">
        <v>0</v>
      </c>
      <c r="S41" s="3" t="b">
        <v>0</v>
      </c>
      <c r="T41" s="3" t="b">
        <v>0</v>
      </c>
      <c r="U41" s="3" t="b">
        <v>0</v>
      </c>
      <c r="V41" s="3" t="b">
        <v>0</v>
      </c>
      <c r="W41" cm="1">
        <f t="array" ref="W41">SUM(--C41:V41)</f>
        <v>2</v>
      </c>
    </row>
    <row r="42" spans="1:23" x14ac:dyDescent="0.3">
      <c r="A42" s="3" t="s">
        <v>41</v>
      </c>
      <c r="B42" s="3" t="s">
        <v>159</v>
      </c>
      <c r="C42" s="3" t="b">
        <v>1</v>
      </c>
      <c r="D42" s="3" t="b">
        <v>0</v>
      </c>
      <c r="E42" s="3" t="b">
        <v>0</v>
      </c>
      <c r="F42" s="3" t="b">
        <v>0</v>
      </c>
      <c r="G42" s="3" t="b">
        <v>0</v>
      </c>
      <c r="H42" s="3" t="b">
        <v>0</v>
      </c>
      <c r="I42" s="3" t="b">
        <v>1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1</v>
      </c>
      <c r="O42" s="3" t="b">
        <v>0</v>
      </c>
      <c r="P42" s="3" t="b">
        <v>0</v>
      </c>
      <c r="Q42" s="3" t="b">
        <v>0</v>
      </c>
      <c r="R42" s="3" t="b">
        <v>1</v>
      </c>
      <c r="S42" s="3" t="b">
        <v>0</v>
      </c>
      <c r="T42" s="3" t="b">
        <v>0</v>
      </c>
      <c r="U42" s="3" t="b">
        <v>0</v>
      </c>
      <c r="V42" s="3" t="b">
        <v>0</v>
      </c>
      <c r="W42" cm="1">
        <f t="array" ref="W42">SUM(--C42:V42)</f>
        <v>4</v>
      </c>
    </row>
    <row r="43" spans="1:23" ht="28.8" x14ac:dyDescent="0.3">
      <c r="A43" s="3" t="s">
        <v>42</v>
      </c>
      <c r="B43" s="3" t="s">
        <v>160</v>
      </c>
      <c r="C43" s="3" t="b">
        <v>0</v>
      </c>
      <c r="D43" s="3" t="b">
        <v>0</v>
      </c>
      <c r="E43" s="3" t="b">
        <v>0</v>
      </c>
      <c r="F43" s="3" t="b">
        <v>0</v>
      </c>
      <c r="G43" s="3" t="b"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1</v>
      </c>
      <c r="O43" s="3" t="b">
        <v>0</v>
      </c>
      <c r="P43" s="3" t="b">
        <v>0</v>
      </c>
      <c r="Q43" s="3" t="b">
        <v>0</v>
      </c>
      <c r="R43" s="3" t="b">
        <v>0</v>
      </c>
      <c r="S43" s="3" t="b">
        <v>0</v>
      </c>
      <c r="T43" s="3" t="b">
        <v>0</v>
      </c>
      <c r="U43" s="3" t="b">
        <v>0</v>
      </c>
      <c r="V43" s="3" t="b">
        <v>0</v>
      </c>
      <c r="W43" cm="1">
        <f t="array" ref="W43">SUM(--C43:V43)</f>
        <v>1</v>
      </c>
    </row>
    <row r="44" spans="1:23" x14ac:dyDescent="0.3">
      <c r="A44" s="3" t="s">
        <v>43</v>
      </c>
      <c r="B44" t="s">
        <v>161</v>
      </c>
      <c r="C44" s="3" t="b">
        <v>1</v>
      </c>
      <c r="D44" s="3" t="b">
        <v>0</v>
      </c>
      <c r="E44" s="3" t="b">
        <v>1</v>
      </c>
      <c r="F44" s="3" t="b">
        <v>0</v>
      </c>
      <c r="G44" s="3" t="b">
        <v>0</v>
      </c>
      <c r="H44" s="3" t="b">
        <v>0</v>
      </c>
      <c r="I44" s="3" t="b">
        <v>1</v>
      </c>
      <c r="J44" s="3" t="b">
        <v>0</v>
      </c>
      <c r="K44" s="3" t="b">
        <v>1</v>
      </c>
      <c r="L44" s="3" t="b">
        <v>0</v>
      </c>
      <c r="M44" s="3" t="b">
        <v>0</v>
      </c>
      <c r="N44" s="3" t="b">
        <v>1</v>
      </c>
      <c r="O44" s="3" t="b">
        <v>0</v>
      </c>
      <c r="P44" s="3" t="b">
        <v>0</v>
      </c>
      <c r="Q44" s="3" t="b">
        <v>0</v>
      </c>
      <c r="R44" s="3" t="b">
        <v>0</v>
      </c>
      <c r="S44" s="3" t="b">
        <v>0</v>
      </c>
      <c r="T44" s="3" t="b">
        <v>0</v>
      </c>
      <c r="U44" s="3" t="b">
        <v>0</v>
      </c>
      <c r="V44" s="3" t="b">
        <v>0</v>
      </c>
      <c r="W44" cm="1">
        <f t="array" ref="W44">SUM(--C44:V44)</f>
        <v>5</v>
      </c>
    </row>
    <row r="45" spans="1:23" x14ac:dyDescent="0.3">
      <c r="A45" s="3" t="s">
        <v>44</v>
      </c>
      <c r="B45" s="3" t="s">
        <v>147</v>
      </c>
      <c r="C45" s="3" t="b">
        <v>0</v>
      </c>
      <c r="D45" s="3" t="b">
        <v>0</v>
      </c>
      <c r="E45" s="3" t="b">
        <v>0</v>
      </c>
      <c r="F45" s="3" t="b">
        <v>0</v>
      </c>
      <c r="G45" s="3" t="b"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  <c r="R45" s="3" t="b">
        <v>0</v>
      </c>
      <c r="S45" s="3" t="b">
        <v>1</v>
      </c>
      <c r="T45" s="3" t="b">
        <v>0</v>
      </c>
      <c r="U45" s="3" t="b">
        <v>0</v>
      </c>
      <c r="V45" s="3" t="b">
        <v>0</v>
      </c>
      <c r="W45" cm="1">
        <f t="array" ref="W45">SUM(--C45:V45)</f>
        <v>1</v>
      </c>
    </row>
    <row r="46" spans="1:23" x14ac:dyDescent="0.3">
      <c r="A46" s="3" t="s">
        <v>45</v>
      </c>
      <c r="B46" s="3" t="s">
        <v>162</v>
      </c>
      <c r="C46" s="3" t="b">
        <v>1</v>
      </c>
      <c r="D46" s="3" t="b">
        <v>0</v>
      </c>
      <c r="E46" s="3" t="b">
        <v>1</v>
      </c>
      <c r="F46" s="3" t="b">
        <v>0</v>
      </c>
      <c r="G46" s="3" t="b"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1</v>
      </c>
      <c r="O46" s="3" t="b">
        <v>0</v>
      </c>
      <c r="P46" s="3" t="b">
        <v>0</v>
      </c>
      <c r="Q46" s="3" t="b">
        <v>0</v>
      </c>
      <c r="R46" s="3" t="b">
        <v>0</v>
      </c>
      <c r="S46" s="3" t="b">
        <v>0</v>
      </c>
      <c r="T46" s="3" t="b">
        <v>0</v>
      </c>
      <c r="U46" s="3" t="b">
        <v>0</v>
      </c>
      <c r="V46" s="3" t="b">
        <v>0</v>
      </c>
      <c r="W46" cm="1">
        <f t="array" ref="W46">SUM(--C46:V46)</f>
        <v>3</v>
      </c>
    </row>
    <row r="47" spans="1:23" ht="28.8" x14ac:dyDescent="0.3">
      <c r="A47" s="3" t="s">
        <v>46</v>
      </c>
      <c r="B47" s="3" t="s">
        <v>145</v>
      </c>
      <c r="C47" s="3" t="b">
        <v>1</v>
      </c>
      <c r="D47" s="3" t="b">
        <v>0</v>
      </c>
      <c r="E47" s="3" t="b">
        <v>1</v>
      </c>
      <c r="F47" s="3" t="b">
        <v>0</v>
      </c>
      <c r="G47" s="3" t="b">
        <v>0</v>
      </c>
      <c r="H47" s="3" t="b">
        <v>1</v>
      </c>
      <c r="I47" s="3" t="b">
        <v>1</v>
      </c>
      <c r="J47" s="13" t="b">
        <v>1</v>
      </c>
      <c r="K47" s="3" t="b">
        <v>1</v>
      </c>
      <c r="L47" s="3" t="b">
        <v>0</v>
      </c>
      <c r="M47" s="3" t="b">
        <v>0</v>
      </c>
      <c r="N47" s="3" t="b">
        <v>1</v>
      </c>
      <c r="O47" s="3" t="b">
        <v>0</v>
      </c>
      <c r="P47" s="3" t="b">
        <v>0</v>
      </c>
      <c r="Q47" s="3" t="b">
        <v>0</v>
      </c>
      <c r="R47" s="3" t="b">
        <v>0</v>
      </c>
      <c r="S47" s="3" t="b">
        <v>0</v>
      </c>
      <c r="T47" s="3" t="b">
        <v>0</v>
      </c>
      <c r="U47" s="3" t="b">
        <v>0</v>
      </c>
      <c r="V47" s="3" t="b">
        <v>1</v>
      </c>
      <c r="W47" cm="1">
        <f t="array" ref="W47">SUM(--C47:V47)</f>
        <v>8</v>
      </c>
    </row>
    <row r="48" spans="1:23" x14ac:dyDescent="0.3">
      <c r="A48" s="3" t="s">
        <v>47</v>
      </c>
      <c r="B48" s="3" t="s">
        <v>146</v>
      </c>
      <c r="C48" s="3" t="b">
        <v>1</v>
      </c>
      <c r="D48" s="3" t="b">
        <v>0</v>
      </c>
      <c r="E48" s="3" t="b">
        <v>0</v>
      </c>
      <c r="F48" s="3" t="b">
        <v>0</v>
      </c>
      <c r="G48" s="3" t="b">
        <v>0</v>
      </c>
      <c r="H48" s="3" t="b">
        <v>0</v>
      </c>
      <c r="I48" s="3" t="b">
        <v>1</v>
      </c>
      <c r="J48" s="3" t="b">
        <v>0</v>
      </c>
      <c r="K48" s="3" t="b">
        <v>0</v>
      </c>
      <c r="L48" s="3" t="b">
        <v>0</v>
      </c>
      <c r="M48" s="3" t="b">
        <v>1</v>
      </c>
      <c r="N48" s="3" t="b">
        <v>0</v>
      </c>
      <c r="O48" s="3" t="b">
        <v>0</v>
      </c>
      <c r="P48" s="3" t="b">
        <v>0</v>
      </c>
      <c r="Q48" s="3" t="b">
        <v>0</v>
      </c>
      <c r="R48" s="3" t="b">
        <v>0</v>
      </c>
      <c r="S48" s="3" t="b">
        <v>0</v>
      </c>
      <c r="T48" s="3" t="b">
        <v>0</v>
      </c>
      <c r="U48" s="3" t="b">
        <v>1</v>
      </c>
      <c r="V48" s="3" t="b">
        <v>0</v>
      </c>
      <c r="W48" cm="1">
        <f t="array" ref="W48">SUM(--C48:V48)</f>
        <v>4</v>
      </c>
    </row>
    <row r="49" spans="1:23" x14ac:dyDescent="0.3">
      <c r="A49" s="3" t="s">
        <v>48</v>
      </c>
      <c r="B49" s="3" t="s">
        <v>144</v>
      </c>
      <c r="C49" s="3" t="b">
        <v>1</v>
      </c>
      <c r="D49" s="3" t="b">
        <v>0</v>
      </c>
      <c r="E49" s="3" t="b">
        <v>1</v>
      </c>
      <c r="F49" s="3" t="b">
        <v>0</v>
      </c>
      <c r="G49" s="3" t="b">
        <v>1</v>
      </c>
      <c r="H49" s="3" t="b">
        <v>1</v>
      </c>
      <c r="I49" s="3" t="b">
        <v>1</v>
      </c>
      <c r="J49" s="3" t="b">
        <v>0</v>
      </c>
      <c r="K49" s="3" t="b">
        <v>1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  <c r="R49" s="3" t="b">
        <v>0</v>
      </c>
      <c r="S49" s="3" t="b">
        <v>0</v>
      </c>
      <c r="T49" s="3" t="b">
        <v>0</v>
      </c>
      <c r="U49" s="3" t="b">
        <v>0</v>
      </c>
      <c r="V49" s="3" t="b">
        <v>1</v>
      </c>
      <c r="W49" cm="1">
        <f t="array" ref="W49">SUM(--C49:V49)</f>
        <v>7</v>
      </c>
    </row>
    <row r="50" spans="1:23" x14ac:dyDescent="0.3">
      <c r="A50" s="3" t="s">
        <v>49</v>
      </c>
      <c r="B50" s="3" t="s">
        <v>161</v>
      </c>
      <c r="C50" s="3" t="b">
        <v>1</v>
      </c>
      <c r="D50" s="3" t="b">
        <v>0</v>
      </c>
      <c r="E50" s="3" t="b">
        <v>1</v>
      </c>
      <c r="F50" s="3" t="b">
        <v>0</v>
      </c>
      <c r="G50" s="3" t="b">
        <v>0</v>
      </c>
      <c r="H50" s="3" t="b">
        <v>0</v>
      </c>
      <c r="I50" s="3" t="b">
        <v>1</v>
      </c>
      <c r="J50" s="3" t="b">
        <v>0</v>
      </c>
      <c r="K50" s="3" t="b">
        <v>1</v>
      </c>
      <c r="L50" s="3" t="b">
        <v>0</v>
      </c>
      <c r="M50" s="3" t="b">
        <v>0</v>
      </c>
      <c r="N50" s="3" t="b">
        <v>1</v>
      </c>
      <c r="O50" s="3" t="b">
        <v>0</v>
      </c>
      <c r="P50" s="3" t="b">
        <v>0</v>
      </c>
      <c r="Q50" s="3" t="b">
        <v>1</v>
      </c>
      <c r="R50" s="3" t="b">
        <v>1</v>
      </c>
      <c r="S50" s="3" t="b">
        <v>0</v>
      </c>
      <c r="T50" s="3" t="b">
        <v>1</v>
      </c>
      <c r="U50" s="3" t="b">
        <v>0</v>
      </c>
      <c r="V50" s="3" t="b">
        <v>0</v>
      </c>
      <c r="W50" cm="1">
        <f t="array" ref="W50">SUM(--C50:V50)</f>
        <v>8</v>
      </c>
    </row>
    <row r="51" spans="1:23" x14ac:dyDescent="0.3">
      <c r="A51" s="3" t="s">
        <v>50</v>
      </c>
      <c r="B51" s="3" t="s">
        <v>163</v>
      </c>
      <c r="C51" s="3" t="b">
        <v>0</v>
      </c>
      <c r="D51" s="3" t="b">
        <v>0</v>
      </c>
      <c r="E51" s="3" t="b">
        <v>0</v>
      </c>
      <c r="F51" s="3" t="b">
        <v>0</v>
      </c>
      <c r="G51" s="3" t="b">
        <v>0</v>
      </c>
      <c r="H51" s="3" t="b">
        <v>0</v>
      </c>
      <c r="I51" s="3" t="b">
        <v>1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  <c r="R51" s="3" t="b">
        <v>0</v>
      </c>
      <c r="S51" s="3" t="b">
        <v>0</v>
      </c>
      <c r="T51" s="3" t="b">
        <v>1</v>
      </c>
      <c r="U51" s="3" t="b">
        <v>1</v>
      </c>
      <c r="V51" s="3" t="b">
        <v>0</v>
      </c>
      <c r="W51" cm="1">
        <f t="array" ref="W51">SUM(--C51:V51)</f>
        <v>3</v>
      </c>
    </row>
    <row r="52" spans="1:23" ht="28.8" x14ac:dyDescent="0.3">
      <c r="A52" s="3" t="s">
        <v>51</v>
      </c>
      <c r="B52" s="3" t="s">
        <v>163</v>
      </c>
      <c r="C52" s="3" t="b">
        <v>0</v>
      </c>
      <c r="D52" s="3" t="b">
        <v>1</v>
      </c>
      <c r="E52" s="3" t="b">
        <v>0</v>
      </c>
      <c r="F52" s="3" t="b">
        <v>0</v>
      </c>
      <c r="G52" s="3" t="b"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  <c r="R52" s="3" t="b">
        <v>0</v>
      </c>
      <c r="S52" s="3" t="b">
        <v>0</v>
      </c>
      <c r="T52" s="3" t="b">
        <v>1</v>
      </c>
      <c r="U52" s="3" t="b">
        <v>0</v>
      </c>
      <c r="V52" s="3" t="b">
        <v>0</v>
      </c>
      <c r="W52" cm="1">
        <f t="array" ref="W52">SUM(--C52:V52)</f>
        <v>2</v>
      </c>
    </row>
    <row r="53" spans="1:23" x14ac:dyDescent="0.3">
      <c r="A53" s="3" t="s">
        <v>52</v>
      </c>
      <c r="B53" s="3" t="s">
        <v>137</v>
      </c>
      <c r="C53" s="3" t="b">
        <v>1</v>
      </c>
      <c r="D53" s="3" t="b">
        <v>0</v>
      </c>
      <c r="E53" s="3" t="b">
        <v>1</v>
      </c>
      <c r="F53" s="3" t="b">
        <v>0</v>
      </c>
      <c r="G53" s="3" t="b">
        <v>0</v>
      </c>
      <c r="H53" s="3" t="b">
        <v>1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  <c r="R53" s="3" t="b">
        <v>0</v>
      </c>
      <c r="S53" s="3" t="b">
        <v>0</v>
      </c>
      <c r="T53" s="3" t="b">
        <v>0</v>
      </c>
      <c r="U53" s="3" t="b">
        <v>0</v>
      </c>
      <c r="V53" s="3" t="b">
        <v>0</v>
      </c>
      <c r="W53" cm="1">
        <f t="array" ref="W53">SUM(--C53:V53)</f>
        <v>3</v>
      </c>
    </row>
    <row r="54" spans="1:23" x14ac:dyDescent="0.3">
      <c r="A54" s="3" t="s">
        <v>53</v>
      </c>
      <c r="B54" s="3" t="s">
        <v>138</v>
      </c>
      <c r="C54" s="3" t="b">
        <v>0</v>
      </c>
      <c r="D54" s="3" t="b">
        <v>0</v>
      </c>
      <c r="E54" s="3" t="b">
        <v>0</v>
      </c>
      <c r="F54" s="3" t="b">
        <v>0</v>
      </c>
      <c r="G54" s="3" t="b">
        <v>0</v>
      </c>
      <c r="H54" s="3" t="b">
        <v>1</v>
      </c>
      <c r="I54" s="3" t="b">
        <v>1</v>
      </c>
      <c r="J54" s="3" t="b">
        <v>0</v>
      </c>
      <c r="K54" s="3" t="b">
        <v>1</v>
      </c>
      <c r="L54" s="3" t="b">
        <v>0</v>
      </c>
      <c r="M54" s="3" t="b">
        <v>0</v>
      </c>
      <c r="N54" s="3" t="b">
        <v>1</v>
      </c>
      <c r="O54" s="3" t="b">
        <v>1</v>
      </c>
      <c r="P54" s="3" t="b">
        <v>0</v>
      </c>
      <c r="Q54" s="3" t="b">
        <v>1</v>
      </c>
      <c r="R54" s="3" t="b">
        <v>0</v>
      </c>
      <c r="S54" s="3" t="b">
        <v>0</v>
      </c>
      <c r="T54" s="3" t="b">
        <v>0</v>
      </c>
      <c r="U54" s="3" t="b">
        <v>0</v>
      </c>
      <c r="V54" s="3" t="b">
        <v>1</v>
      </c>
      <c r="W54" cm="1">
        <f t="array" ref="W54">SUM(--C54:V54)</f>
        <v>7</v>
      </c>
    </row>
    <row r="55" spans="1:23" x14ac:dyDescent="0.3">
      <c r="A55" s="3" t="s">
        <v>54</v>
      </c>
      <c r="B55" s="3" t="s">
        <v>136</v>
      </c>
      <c r="C55" s="3" t="b">
        <v>1</v>
      </c>
      <c r="D55" s="3" t="b">
        <v>0</v>
      </c>
      <c r="E55" s="3" t="b">
        <v>0</v>
      </c>
      <c r="F55" s="3" t="b">
        <v>0</v>
      </c>
      <c r="G55" s="3" t="b">
        <v>0</v>
      </c>
      <c r="H55" s="3" t="b">
        <v>0</v>
      </c>
      <c r="I55" s="3" t="b">
        <v>1</v>
      </c>
      <c r="J55" s="3" t="b">
        <v>0</v>
      </c>
      <c r="K55" s="3" t="b">
        <v>1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  <c r="R55" s="3" t="b">
        <v>0</v>
      </c>
      <c r="S55" s="3" t="b">
        <v>0</v>
      </c>
      <c r="T55" s="3" t="b">
        <v>0</v>
      </c>
      <c r="U55" s="3" t="b">
        <v>0</v>
      </c>
      <c r="V55" s="3" t="b">
        <v>0</v>
      </c>
      <c r="W55" cm="1">
        <f t="array" ref="W55">SUM(--C55:V55)</f>
        <v>3</v>
      </c>
    </row>
    <row r="56" spans="1:23" x14ac:dyDescent="0.3">
      <c r="A56" s="3" t="s">
        <v>55</v>
      </c>
      <c r="B56" s="3" t="s">
        <v>137</v>
      </c>
      <c r="C56" s="3" t="b">
        <v>0</v>
      </c>
      <c r="D56" s="3" t="b">
        <v>0</v>
      </c>
      <c r="E56" s="3" t="b">
        <v>0</v>
      </c>
      <c r="F56" s="3" t="b">
        <v>0</v>
      </c>
      <c r="G56" s="3" t="b">
        <v>0</v>
      </c>
      <c r="H56" s="3" t="b">
        <v>0</v>
      </c>
      <c r="I56" s="3" t="b">
        <v>1</v>
      </c>
      <c r="J56" s="3" t="b">
        <v>1</v>
      </c>
      <c r="K56" s="3" t="b">
        <v>0</v>
      </c>
      <c r="L56" s="3" t="b">
        <v>0</v>
      </c>
      <c r="M56" s="3" t="b">
        <v>0</v>
      </c>
      <c r="N56" s="3" t="b">
        <v>1</v>
      </c>
      <c r="O56" s="3" t="b">
        <v>0</v>
      </c>
      <c r="P56" s="3" t="b">
        <v>0</v>
      </c>
      <c r="Q56" s="3" t="b">
        <v>0</v>
      </c>
      <c r="R56" s="3" t="b">
        <v>0</v>
      </c>
      <c r="S56" s="3" t="b">
        <v>0</v>
      </c>
      <c r="T56" s="3" t="b">
        <v>0</v>
      </c>
      <c r="U56" s="3" t="b">
        <v>0</v>
      </c>
      <c r="V56" s="3" t="b">
        <v>0</v>
      </c>
      <c r="W56" cm="1">
        <f t="array" ref="W56">SUM(--C56:V56)</f>
        <v>3</v>
      </c>
    </row>
    <row r="57" spans="1:23" x14ac:dyDescent="0.3">
      <c r="A57" s="3" t="s">
        <v>56</v>
      </c>
      <c r="B57" s="3" t="s">
        <v>137</v>
      </c>
      <c r="C57" s="3" t="b">
        <v>1</v>
      </c>
      <c r="D57" s="3" t="b">
        <v>0</v>
      </c>
      <c r="E57" s="3" t="b">
        <v>0</v>
      </c>
      <c r="F57" s="3" t="b">
        <v>0</v>
      </c>
      <c r="G57" s="3" t="b">
        <v>0</v>
      </c>
      <c r="H57" s="3" t="b">
        <v>1</v>
      </c>
      <c r="I57" s="3" t="b">
        <v>1</v>
      </c>
      <c r="J57" s="3" t="b">
        <v>0</v>
      </c>
      <c r="K57" s="3" t="b">
        <v>0</v>
      </c>
      <c r="L57" s="3" t="b">
        <v>0</v>
      </c>
      <c r="M57" s="3" t="b">
        <v>1</v>
      </c>
      <c r="N57" s="3" t="b">
        <v>0</v>
      </c>
      <c r="O57" s="3" t="b">
        <v>0</v>
      </c>
      <c r="P57" s="3" t="b">
        <v>0</v>
      </c>
      <c r="Q57" s="3" t="b">
        <v>0</v>
      </c>
      <c r="R57" s="3" t="b">
        <v>0</v>
      </c>
      <c r="S57" s="3" t="b">
        <v>0</v>
      </c>
      <c r="T57" s="3" t="b">
        <v>0</v>
      </c>
      <c r="U57" s="3" t="b">
        <v>0</v>
      </c>
      <c r="V57" s="3" t="b">
        <v>0</v>
      </c>
      <c r="W57" cm="1">
        <f t="array" ref="W57">SUM(--C57:V57)</f>
        <v>4</v>
      </c>
    </row>
    <row r="58" spans="1:23" x14ac:dyDescent="0.3">
      <c r="A58" s="3" t="s">
        <v>57</v>
      </c>
      <c r="B58" s="3" t="s">
        <v>156</v>
      </c>
      <c r="C58" s="3" t="b">
        <v>0</v>
      </c>
      <c r="D58" s="3" t="b">
        <v>0</v>
      </c>
      <c r="E58" s="3" t="b">
        <v>1</v>
      </c>
      <c r="F58" s="3" t="b">
        <v>0</v>
      </c>
      <c r="G58" s="3" t="b"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  <c r="R58" s="3" t="b">
        <v>0</v>
      </c>
      <c r="S58" s="3" t="b">
        <v>0</v>
      </c>
      <c r="T58" s="3" t="b">
        <v>0</v>
      </c>
      <c r="U58" s="3" t="b">
        <v>0</v>
      </c>
      <c r="V58" s="3" t="b">
        <v>0</v>
      </c>
      <c r="W58" cm="1">
        <f t="array" ref="W58">SUM(--C58:V58)</f>
        <v>1</v>
      </c>
    </row>
    <row r="59" spans="1:23" x14ac:dyDescent="0.3">
      <c r="A59" s="3" t="s">
        <v>58</v>
      </c>
      <c r="B59" s="3" t="s">
        <v>136</v>
      </c>
      <c r="C59" s="3" t="b">
        <v>1</v>
      </c>
      <c r="D59" s="3" t="b">
        <v>0</v>
      </c>
      <c r="E59" s="3" t="b">
        <v>1</v>
      </c>
      <c r="F59" s="3" t="b">
        <v>1</v>
      </c>
      <c r="G59" s="3" t="b">
        <v>0</v>
      </c>
      <c r="H59" s="3" t="b">
        <v>1</v>
      </c>
      <c r="I59" s="3" t="b">
        <v>1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  <c r="R59" s="3" t="b">
        <v>0</v>
      </c>
      <c r="S59" s="3" t="b">
        <v>0</v>
      </c>
      <c r="T59" s="3" t="b">
        <v>0</v>
      </c>
      <c r="U59" s="3" t="b">
        <v>0</v>
      </c>
      <c r="V59" s="3" t="b">
        <v>0</v>
      </c>
      <c r="W59" cm="1">
        <f t="array" ref="W59">SUM(--C59:V59)</f>
        <v>5</v>
      </c>
    </row>
    <row r="60" spans="1:23" ht="28.8" x14ac:dyDescent="0.3">
      <c r="A60" s="3" t="s">
        <v>59</v>
      </c>
      <c r="B60" s="3" t="s">
        <v>164</v>
      </c>
      <c r="C60" s="3" t="b">
        <v>0</v>
      </c>
      <c r="D60" s="3" t="b">
        <v>0</v>
      </c>
      <c r="E60" s="3" t="b">
        <v>0</v>
      </c>
      <c r="F60" s="3" t="b">
        <v>0</v>
      </c>
      <c r="G60" s="3" t="b">
        <v>0</v>
      </c>
      <c r="H60" s="3" t="b">
        <v>1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  <c r="R60" s="3" t="b">
        <v>0</v>
      </c>
      <c r="S60" s="3" t="b">
        <v>0</v>
      </c>
      <c r="T60" s="3" t="b">
        <v>0</v>
      </c>
      <c r="U60" s="3" t="b">
        <v>0</v>
      </c>
      <c r="V60" s="3" t="b">
        <v>0</v>
      </c>
      <c r="W60" cm="1">
        <f t="array" ref="W60">SUM(--C60:V60)</f>
        <v>1</v>
      </c>
    </row>
    <row r="61" spans="1:23" x14ac:dyDescent="0.3">
      <c r="A61" s="3" t="s">
        <v>60</v>
      </c>
      <c r="B61" s="3" t="s">
        <v>143</v>
      </c>
      <c r="C61" s="3" t="b">
        <v>0</v>
      </c>
      <c r="D61" s="3" t="b">
        <v>0</v>
      </c>
      <c r="E61" s="3" t="b">
        <v>0</v>
      </c>
      <c r="F61" s="3" t="b">
        <v>0</v>
      </c>
      <c r="G61" s="3" t="b">
        <v>0</v>
      </c>
      <c r="H61" s="3" t="b">
        <v>1</v>
      </c>
      <c r="I61" s="3" t="b">
        <v>1</v>
      </c>
      <c r="J61" s="3" t="b">
        <v>1</v>
      </c>
      <c r="K61" s="3" t="b">
        <v>1</v>
      </c>
      <c r="L61" s="3" t="b">
        <v>1</v>
      </c>
      <c r="M61" s="3" t="b">
        <v>0</v>
      </c>
      <c r="N61" s="3" t="b">
        <v>0</v>
      </c>
      <c r="O61" s="3" t="b">
        <v>1</v>
      </c>
      <c r="P61" s="3" t="b">
        <v>0</v>
      </c>
      <c r="Q61" s="3" t="b">
        <v>1</v>
      </c>
      <c r="R61" s="3" t="b">
        <v>1</v>
      </c>
      <c r="S61" s="3" t="b">
        <v>1</v>
      </c>
      <c r="T61" s="3" t="b">
        <v>0</v>
      </c>
      <c r="U61" s="3" t="b">
        <v>0</v>
      </c>
      <c r="V61" s="3" t="b">
        <v>1</v>
      </c>
      <c r="W61" cm="1">
        <f t="array" ref="W61">SUM(--C61:V61)</f>
        <v>10</v>
      </c>
    </row>
    <row r="62" spans="1:23" x14ac:dyDescent="0.3">
      <c r="A62" s="3" t="s">
        <v>61</v>
      </c>
      <c r="B62" s="3" t="s">
        <v>136</v>
      </c>
      <c r="C62" s="3" t="b">
        <v>1</v>
      </c>
      <c r="D62" s="3" t="b">
        <v>0</v>
      </c>
      <c r="E62" s="3" t="b">
        <v>1</v>
      </c>
      <c r="F62" s="3" t="b">
        <v>0</v>
      </c>
      <c r="G62" s="3" t="b">
        <v>0</v>
      </c>
      <c r="H62" s="3" t="b">
        <v>0</v>
      </c>
      <c r="I62" s="3" t="b">
        <v>1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  <c r="R62" s="3" t="b">
        <v>0</v>
      </c>
      <c r="S62" s="3" t="b">
        <v>0</v>
      </c>
      <c r="T62" s="3" t="b">
        <v>0</v>
      </c>
      <c r="U62" s="3" t="b">
        <v>0</v>
      </c>
      <c r="V62" s="3" t="b">
        <v>0</v>
      </c>
      <c r="W62" cm="1">
        <f t="array" ref="W62">SUM(--C62:V62)</f>
        <v>3</v>
      </c>
    </row>
    <row r="63" spans="1:23" x14ac:dyDescent="0.3">
      <c r="A63" s="3" t="s">
        <v>62</v>
      </c>
      <c r="B63" s="3" t="s">
        <v>138</v>
      </c>
      <c r="C63" s="3" t="b">
        <v>0</v>
      </c>
      <c r="D63" s="3" t="b">
        <v>0</v>
      </c>
      <c r="E63" s="3" t="b">
        <v>0</v>
      </c>
      <c r="F63" s="3" t="b">
        <v>0</v>
      </c>
      <c r="G63" s="3" t="b">
        <v>0</v>
      </c>
      <c r="H63" s="3" t="b">
        <v>0</v>
      </c>
      <c r="I63" s="3" t="b">
        <v>1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  <c r="R63" s="3" t="b">
        <v>0</v>
      </c>
      <c r="S63" s="3" t="b">
        <v>0</v>
      </c>
      <c r="T63" s="3" t="b">
        <v>0</v>
      </c>
      <c r="U63" s="3" t="b">
        <v>0</v>
      </c>
      <c r="V63" s="3" t="b">
        <v>0</v>
      </c>
      <c r="W63" cm="1">
        <f t="array" ref="W63">SUM(--C63:V63)</f>
        <v>1</v>
      </c>
    </row>
    <row r="64" spans="1:23" x14ac:dyDescent="0.3">
      <c r="A64" s="3" t="s">
        <v>63</v>
      </c>
      <c r="B64" s="3" t="s">
        <v>140</v>
      </c>
      <c r="C64" s="3" t="b">
        <v>1</v>
      </c>
      <c r="D64" s="3" t="b">
        <v>0</v>
      </c>
      <c r="E64" s="3" t="b">
        <v>1</v>
      </c>
      <c r="F64" s="3" t="b">
        <v>0</v>
      </c>
      <c r="G64" s="3" t="b">
        <v>0</v>
      </c>
      <c r="H64" s="3" t="b">
        <v>0</v>
      </c>
      <c r="I64" s="3" t="b">
        <v>0</v>
      </c>
      <c r="J64" s="3" t="b">
        <v>0</v>
      </c>
      <c r="K64" s="3" t="b">
        <v>1</v>
      </c>
      <c r="L64" s="3" t="b">
        <v>0</v>
      </c>
      <c r="M64" s="3" t="b">
        <v>0</v>
      </c>
      <c r="N64" s="3" t="b">
        <v>1</v>
      </c>
      <c r="O64" s="3" t="b">
        <v>0</v>
      </c>
      <c r="P64" s="3" t="b">
        <v>0</v>
      </c>
      <c r="Q64" s="3" t="b">
        <v>1</v>
      </c>
      <c r="R64" s="3" t="b">
        <v>0</v>
      </c>
      <c r="S64" s="3" t="b">
        <v>0</v>
      </c>
      <c r="T64" s="3" t="b">
        <v>0</v>
      </c>
      <c r="U64" s="3" t="b">
        <v>0</v>
      </c>
      <c r="V64" s="3" t="b">
        <v>1</v>
      </c>
      <c r="W64" cm="1">
        <f t="array" ref="W64">SUM(--C64:V64)</f>
        <v>6</v>
      </c>
    </row>
    <row r="65" spans="1:23" x14ac:dyDescent="0.3">
      <c r="A65" s="3" t="s">
        <v>64</v>
      </c>
      <c r="B65" s="3" t="s">
        <v>144</v>
      </c>
      <c r="C65" s="3" t="b">
        <v>0</v>
      </c>
      <c r="D65" s="3" t="b">
        <v>0</v>
      </c>
      <c r="E65" s="3" t="b">
        <v>0</v>
      </c>
      <c r="F65" s="3" t="b">
        <v>0</v>
      </c>
      <c r="G65" s="3" t="b">
        <v>0</v>
      </c>
      <c r="H65" s="3" t="b">
        <v>0</v>
      </c>
      <c r="I65" s="3" t="b">
        <v>1</v>
      </c>
      <c r="J65" s="3" t="b">
        <v>0</v>
      </c>
      <c r="K65" s="3" t="b">
        <v>1</v>
      </c>
      <c r="L65" s="3" t="b">
        <v>1</v>
      </c>
      <c r="M65" s="3" t="b">
        <v>1</v>
      </c>
      <c r="N65" s="3" t="b">
        <v>1</v>
      </c>
      <c r="O65" s="3" t="b">
        <v>0</v>
      </c>
      <c r="P65" s="3" t="b">
        <v>0</v>
      </c>
      <c r="Q65" s="3" t="b">
        <v>0</v>
      </c>
      <c r="R65" s="3" t="b">
        <v>0</v>
      </c>
      <c r="S65" s="3" t="b">
        <v>0</v>
      </c>
      <c r="T65" s="3" t="b">
        <v>1</v>
      </c>
      <c r="U65" s="3" t="b">
        <v>0</v>
      </c>
      <c r="V65" s="3" t="b">
        <v>1</v>
      </c>
      <c r="W65" cm="1">
        <f t="array" ref="W65">SUM(--C65:V65)</f>
        <v>7</v>
      </c>
    </row>
    <row r="66" spans="1:23" x14ac:dyDescent="0.3">
      <c r="A66" s="3" t="s">
        <v>65</v>
      </c>
      <c r="B66" s="3" t="s">
        <v>143</v>
      </c>
      <c r="C66" s="3" t="b">
        <v>1</v>
      </c>
      <c r="D66" s="3" t="b">
        <v>0</v>
      </c>
      <c r="E66" s="3" t="b">
        <v>1</v>
      </c>
      <c r="F66" s="3" t="b">
        <v>0</v>
      </c>
      <c r="G66" s="3" t="b">
        <v>0</v>
      </c>
      <c r="H66" s="3" t="b">
        <v>1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  <c r="R66" s="3" t="b">
        <v>0</v>
      </c>
      <c r="S66" s="3" t="b">
        <v>0</v>
      </c>
      <c r="T66" s="3" t="b">
        <v>1</v>
      </c>
      <c r="U66" s="3" t="b">
        <v>0</v>
      </c>
      <c r="V66" s="3" t="b">
        <v>0</v>
      </c>
      <c r="W66" cm="1">
        <f t="array" ref="W66">SUM(--C66:V66)</f>
        <v>4</v>
      </c>
    </row>
    <row r="67" spans="1:23" x14ac:dyDescent="0.3">
      <c r="A67" s="3" t="s">
        <v>66</v>
      </c>
      <c r="B67" s="3" t="s">
        <v>165</v>
      </c>
      <c r="C67" s="3" t="b">
        <v>1</v>
      </c>
      <c r="D67" s="3" t="b">
        <v>0</v>
      </c>
      <c r="E67" s="3" t="b">
        <v>1</v>
      </c>
      <c r="F67" s="3" t="b">
        <v>0</v>
      </c>
      <c r="G67" s="3" t="b">
        <v>0</v>
      </c>
      <c r="H67" s="3" t="b">
        <v>0</v>
      </c>
      <c r="I67" s="3" t="b">
        <v>1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  <c r="R67" s="3" t="b">
        <v>0</v>
      </c>
      <c r="S67" s="3" t="b">
        <v>0</v>
      </c>
      <c r="T67" s="3" t="b">
        <v>0</v>
      </c>
      <c r="U67" s="3" t="b">
        <v>0</v>
      </c>
      <c r="V67" s="3" t="b">
        <v>0</v>
      </c>
      <c r="W67" cm="1">
        <f t="array" ref="W67">SUM(--C67:V67)</f>
        <v>3</v>
      </c>
    </row>
    <row r="68" spans="1:23" ht="28.8" x14ac:dyDescent="0.3">
      <c r="A68" s="3" t="s">
        <v>67</v>
      </c>
      <c r="B68" s="3" t="s">
        <v>166</v>
      </c>
      <c r="C68" s="3" t="b">
        <v>0</v>
      </c>
      <c r="D68" s="3" t="b">
        <v>0</v>
      </c>
      <c r="E68" s="3" t="b">
        <v>0</v>
      </c>
      <c r="F68" s="3" t="b">
        <v>0</v>
      </c>
      <c r="G68" s="3" t="b">
        <v>0</v>
      </c>
      <c r="H68" s="3" t="b">
        <v>0</v>
      </c>
      <c r="I68" s="3" t="b">
        <v>1</v>
      </c>
      <c r="J68" s="3" t="b">
        <v>0</v>
      </c>
      <c r="K68" s="3" t="b">
        <v>1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  <c r="R68" s="3" t="b">
        <v>0</v>
      </c>
      <c r="S68" s="3" t="b">
        <v>0</v>
      </c>
      <c r="T68" s="3" t="b">
        <v>0</v>
      </c>
      <c r="U68" s="3" t="b">
        <v>0</v>
      </c>
      <c r="V68" s="3" t="b">
        <v>1</v>
      </c>
      <c r="W68" cm="1">
        <f t="array" ref="W68">SUM(--C68:V68)</f>
        <v>3</v>
      </c>
    </row>
    <row r="69" spans="1:23" ht="28.8" x14ac:dyDescent="0.3">
      <c r="A69" s="3" t="s">
        <v>68</v>
      </c>
      <c r="B69" s="3" t="s">
        <v>166</v>
      </c>
      <c r="C69" s="3" t="b">
        <v>0</v>
      </c>
      <c r="D69" s="3" t="b">
        <v>0</v>
      </c>
      <c r="E69" s="3" t="b">
        <v>0</v>
      </c>
      <c r="F69" s="3" t="b">
        <v>0</v>
      </c>
      <c r="G69" s="3" t="b">
        <v>0</v>
      </c>
      <c r="H69" s="3" t="b">
        <v>0</v>
      </c>
      <c r="I69" s="3" t="b">
        <v>1</v>
      </c>
      <c r="J69" s="3" t="b">
        <v>0</v>
      </c>
      <c r="K69" s="3" t="b">
        <v>1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  <c r="R69" s="3" t="b">
        <v>0</v>
      </c>
      <c r="S69" s="3" t="b">
        <v>0</v>
      </c>
      <c r="T69" s="3" t="b">
        <v>0</v>
      </c>
      <c r="U69" s="3" t="b">
        <v>0</v>
      </c>
      <c r="V69" s="3" t="b">
        <v>0</v>
      </c>
      <c r="W69" cm="1">
        <f t="array" ref="W69">SUM(--C69:V69)</f>
        <v>2</v>
      </c>
    </row>
    <row r="70" spans="1:23" x14ac:dyDescent="0.3">
      <c r="A70" s="3" t="s">
        <v>69</v>
      </c>
      <c r="B70" s="15" t="s">
        <v>138</v>
      </c>
      <c r="C70" s="14" t="b">
        <v>1</v>
      </c>
      <c r="D70" s="7" t="b">
        <v>0</v>
      </c>
      <c r="E70" s="14" t="b">
        <v>1</v>
      </c>
      <c r="F70" s="7" t="b">
        <v>0</v>
      </c>
      <c r="G70" s="7" t="b">
        <v>0</v>
      </c>
      <c r="H70" s="14" t="b">
        <v>1</v>
      </c>
      <c r="I70" s="14" t="b">
        <v>1</v>
      </c>
      <c r="J70" s="14" t="b">
        <v>1</v>
      </c>
      <c r="K70" s="14" t="b">
        <v>1</v>
      </c>
      <c r="L70" s="7" t="b">
        <v>0</v>
      </c>
      <c r="M70" s="7" t="b">
        <v>0</v>
      </c>
      <c r="N70" s="14" t="b">
        <v>1</v>
      </c>
      <c r="O70" s="7" t="b">
        <v>0</v>
      </c>
      <c r="P70" s="14" t="b">
        <v>1</v>
      </c>
      <c r="Q70" s="14" t="b">
        <v>1</v>
      </c>
      <c r="R70" s="7" t="b">
        <v>0</v>
      </c>
      <c r="S70" s="7" t="b">
        <v>0</v>
      </c>
      <c r="T70" s="7" t="b">
        <v>0</v>
      </c>
      <c r="U70" s="7" t="b">
        <v>0</v>
      </c>
      <c r="V70" s="3" t="b">
        <v>1</v>
      </c>
      <c r="W70" cm="1">
        <f t="array" ref="W70">SUM(--C70:V70)</f>
        <v>10</v>
      </c>
    </row>
    <row r="71" spans="1:23" x14ac:dyDescent="0.3">
      <c r="A71" s="3" t="s">
        <v>70</v>
      </c>
      <c r="B71" s="15" t="s">
        <v>167</v>
      </c>
      <c r="C71" s="15" t="b">
        <v>0</v>
      </c>
      <c r="D71" s="7" t="b">
        <v>0</v>
      </c>
      <c r="E71" s="7" t="b">
        <v>0</v>
      </c>
      <c r="F71" s="7" t="b">
        <v>0</v>
      </c>
      <c r="G71" s="7" t="b">
        <v>0</v>
      </c>
      <c r="H71" s="7" t="b">
        <v>0</v>
      </c>
      <c r="I71" s="14" t="b">
        <v>1</v>
      </c>
      <c r="J71" s="7" t="b">
        <v>0</v>
      </c>
      <c r="K71" s="7" t="b">
        <v>0</v>
      </c>
      <c r="L71" s="7" t="b">
        <v>0</v>
      </c>
      <c r="M71" s="7" t="b">
        <v>0</v>
      </c>
      <c r="N71" s="7" t="b">
        <v>0</v>
      </c>
      <c r="O71" s="7" t="b">
        <v>0</v>
      </c>
      <c r="P71" s="7" t="b">
        <v>0</v>
      </c>
      <c r="Q71" s="7" t="b">
        <v>0</v>
      </c>
      <c r="R71" s="7" t="b">
        <v>0</v>
      </c>
      <c r="S71" s="7" t="b">
        <v>0</v>
      </c>
      <c r="T71" s="7" t="b">
        <v>0</v>
      </c>
      <c r="U71" s="7" t="b">
        <v>0</v>
      </c>
      <c r="V71" s="7" t="b">
        <v>0</v>
      </c>
      <c r="W71" cm="1">
        <f t="array" ref="W71">SUM(--C71:V71)</f>
        <v>1</v>
      </c>
    </row>
    <row r="72" spans="1:23" x14ac:dyDescent="0.3">
      <c r="A72" s="3" t="s">
        <v>71</v>
      </c>
      <c r="B72" s="3" t="s">
        <v>168</v>
      </c>
      <c r="C72" s="15" t="b">
        <v>0</v>
      </c>
      <c r="D72" s="7" t="b">
        <v>0</v>
      </c>
      <c r="E72" s="7" t="b">
        <v>0</v>
      </c>
      <c r="F72" s="7" t="b">
        <v>0</v>
      </c>
      <c r="G72" s="7" t="b">
        <v>0</v>
      </c>
      <c r="H72" s="7" t="b">
        <v>0</v>
      </c>
      <c r="I72" s="3" t="b">
        <v>1</v>
      </c>
      <c r="J72" s="3" t="b">
        <v>1</v>
      </c>
      <c r="K72" s="3" t="b">
        <v>1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  <c r="R72" s="3" t="b">
        <v>0</v>
      </c>
      <c r="S72" s="3" t="b">
        <v>0</v>
      </c>
      <c r="T72" s="3" t="b">
        <v>0</v>
      </c>
      <c r="U72" s="3" t="b">
        <v>0</v>
      </c>
      <c r="V72" s="3" t="b">
        <v>0</v>
      </c>
      <c r="W72" cm="1">
        <f t="array" ref="W72">SUM(--C72:V72)</f>
        <v>3</v>
      </c>
    </row>
    <row r="73" spans="1:23" x14ac:dyDescent="0.3">
      <c r="A73" s="3" t="s">
        <v>72</v>
      </c>
      <c r="B73" s="3" t="s">
        <v>169</v>
      </c>
      <c r="C73" s="3" t="b">
        <v>0</v>
      </c>
      <c r="D73" s="3" t="b">
        <v>0</v>
      </c>
      <c r="E73" s="3" t="b">
        <v>0</v>
      </c>
      <c r="F73" s="3" t="b">
        <v>0</v>
      </c>
      <c r="G73" s="3" t="b">
        <v>0</v>
      </c>
      <c r="H73" s="3" t="b">
        <v>0</v>
      </c>
      <c r="I73" s="3" t="b">
        <v>0</v>
      </c>
      <c r="J73" s="3" t="b">
        <v>1</v>
      </c>
      <c r="K73" s="3" t="b">
        <v>1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  <c r="R73" s="3" t="b">
        <v>0</v>
      </c>
      <c r="S73" s="3" t="b">
        <v>0</v>
      </c>
      <c r="T73" s="3" t="b">
        <v>0</v>
      </c>
      <c r="U73" s="3" t="b">
        <v>0</v>
      </c>
      <c r="V73" s="3" t="b">
        <v>0</v>
      </c>
      <c r="W73" cm="1">
        <f t="array" ref="W73">SUM(--C73:V73)</f>
        <v>2</v>
      </c>
    </row>
    <row r="74" spans="1:23" x14ac:dyDescent="0.3">
      <c r="A74" s="3" t="s">
        <v>73</v>
      </c>
      <c r="B74" s="3" t="s">
        <v>143</v>
      </c>
      <c r="C74" s="3" t="b">
        <v>0</v>
      </c>
      <c r="D74" s="3" t="b">
        <v>0</v>
      </c>
      <c r="E74" s="3" t="b">
        <v>0</v>
      </c>
      <c r="F74" s="3" t="b">
        <v>0</v>
      </c>
      <c r="G74" s="3" t="b">
        <v>0</v>
      </c>
      <c r="H74" s="3" t="b">
        <v>0</v>
      </c>
      <c r="I74" s="3" t="b">
        <v>1</v>
      </c>
      <c r="J74" s="3" t="b">
        <v>0</v>
      </c>
      <c r="K74" s="3" t="b">
        <v>0</v>
      </c>
      <c r="L74" s="3" t="b">
        <v>0</v>
      </c>
      <c r="M74" s="3" t="b">
        <v>0</v>
      </c>
      <c r="N74" s="3" t="b">
        <v>0</v>
      </c>
      <c r="O74" s="3" t="b">
        <v>0</v>
      </c>
      <c r="P74" s="3" t="b">
        <v>0</v>
      </c>
      <c r="Q74" s="3" t="b">
        <v>0</v>
      </c>
      <c r="R74" s="3" t="b">
        <v>0</v>
      </c>
      <c r="S74" s="3" t="b">
        <v>0</v>
      </c>
      <c r="T74" s="3" t="b">
        <v>0</v>
      </c>
      <c r="U74" s="3" t="b">
        <v>0</v>
      </c>
      <c r="V74" s="3" t="b">
        <v>0</v>
      </c>
      <c r="W74" cm="1">
        <f t="array" ref="W74">SUM(--C74:V74)</f>
        <v>1</v>
      </c>
    </row>
    <row r="75" spans="1:23" x14ac:dyDescent="0.3">
      <c r="A75" s="3" t="s">
        <v>74</v>
      </c>
      <c r="B75" s="30" t="s">
        <v>144</v>
      </c>
      <c r="C75" s="3" t="b">
        <v>1</v>
      </c>
      <c r="D75" s="3" t="b">
        <v>0</v>
      </c>
      <c r="E75" s="3" t="b">
        <v>0</v>
      </c>
      <c r="F75" s="3" t="b">
        <v>0</v>
      </c>
      <c r="G75" s="3" t="b">
        <v>0</v>
      </c>
      <c r="H75" s="3" t="b">
        <v>0</v>
      </c>
      <c r="I75" s="3" t="b">
        <v>0</v>
      </c>
      <c r="J75" s="3" t="b">
        <v>0</v>
      </c>
      <c r="K75" s="3" t="b">
        <v>0</v>
      </c>
      <c r="L75" s="3" t="b">
        <v>0</v>
      </c>
      <c r="M75" s="3" t="b">
        <v>0</v>
      </c>
      <c r="N75" s="3" t="b">
        <v>0</v>
      </c>
      <c r="O75" s="3" t="b">
        <v>0</v>
      </c>
      <c r="P75" s="3" t="b">
        <v>0</v>
      </c>
      <c r="Q75" s="3" t="b">
        <v>0</v>
      </c>
      <c r="R75" s="3" t="b">
        <v>0</v>
      </c>
      <c r="S75" s="3" t="b">
        <v>0</v>
      </c>
      <c r="T75" s="3" t="b">
        <v>0</v>
      </c>
      <c r="U75" s="3" t="b">
        <v>0</v>
      </c>
      <c r="V75" s="4" t="b">
        <v>0</v>
      </c>
      <c r="W75" cm="1">
        <f t="array" ref="W75">SUM(--C75:V75)</f>
        <v>1</v>
      </c>
    </row>
    <row r="76" spans="1:23" x14ac:dyDescent="0.3">
      <c r="A76" s="3" t="s">
        <v>75</v>
      </c>
      <c r="B76" s="3" t="s">
        <v>157</v>
      </c>
      <c r="C76" s="3" t="b">
        <v>1</v>
      </c>
      <c r="D76" s="3" t="b">
        <v>0</v>
      </c>
      <c r="E76" s="3" t="b">
        <v>1</v>
      </c>
      <c r="F76" s="3" t="b">
        <v>0</v>
      </c>
      <c r="G76" s="3" t="b">
        <v>0</v>
      </c>
      <c r="H76" s="3" t="b">
        <v>0</v>
      </c>
      <c r="I76" s="3" t="b">
        <v>0</v>
      </c>
      <c r="J76" s="3" t="b">
        <v>0</v>
      </c>
      <c r="K76" s="3" t="b">
        <v>0</v>
      </c>
      <c r="L76" s="3" t="b">
        <v>0</v>
      </c>
      <c r="M76" s="3" t="b">
        <v>0</v>
      </c>
      <c r="N76" s="3" t="b">
        <v>1</v>
      </c>
      <c r="O76" s="3" t="b">
        <v>1</v>
      </c>
      <c r="P76" s="3" t="b">
        <v>0</v>
      </c>
      <c r="Q76" s="3" t="b">
        <v>0</v>
      </c>
      <c r="R76" s="3" t="b">
        <v>0</v>
      </c>
      <c r="S76" s="3" t="b">
        <v>1</v>
      </c>
      <c r="T76" s="3" t="b">
        <v>0</v>
      </c>
      <c r="U76" s="16" t="b">
        <v>0</v>
      </c>
      <c r="V76" s="4" t="b">
        <v>0</v>
      </c>
      <c r="W76" cm="1">
        <f t="array" ref="W76">SUM(--C76:V76)</f>
        <v>5</v>
      </c>
    </row>
    <row r="77" spans="1:23" x14ac:dyDescent="0.3">
      <c r="A77" s="3" t="s">
        <v>76</v>
      </c>
      <c r="B77" s="19" t="s">
        <v>170</v>
      </c>
      <c r="C77" s="17" t="b">
        <v>1</v>
      </c>
      <c r="D77" s="8" t="b">
        <v>0</v>
      </c>
      <c r="E77" s="17" t="b">
        <v>1</v>
      </c>
      <c r="F77" s="8" t="b">
        <v>0</v>
      </c>
      <c r="G77" s="8" t="b">
        <v>0</v>
      </c>
      <c r="H77" s="17" t="b">
        <v>1</v>
      </c>
      <c r="I77" s="17" t="b">
        <v>1</v>
      </c>
      <c r="J77" s="17" t="b">
        <v>1</v>
      </c>
      <c r="K77" s="17" t="b">
        <v>1</v>
      </c>
      <c r="L77" s="17" t="b">
        <v>1</v>
      </c>
      <c r="M77" s="17" t="b">
        <v>1</v>
      </c>
      <c r="N77" s="8" t="b">
        <v>0</v>
      </c>
      <c r="O77" s="8" t="b">
        <v>0</v>
      </c>
      <c r="P77" s="8" t="b">
        <v>0</v>
      </c>
      <c r="Q77" s="8" t="b">
        <v>0</v>
      </c>
      <c r="R77" s="8" t="b">
        <v>0</v>
      </c>
      <c r="S77" s="8" t="b">
        <v>0</v>
      </c>
      <c r="T77" s="8" t="b">
        <v>0</v>
      </c>
      <c r="U77" s="8" t="b">
        <v>0</v>
      </c>
      <c r="V77" s="9" t="b">
        <v>0</v>
      </c>
      <c r="W77" cm="1">
        <f t="array" ref="W77">SUM(--C77:V77)</f>
        <v>8</v>
      </c>
    </row>
    <row r="78" spans="1:23" x14ac:dyDescent="0.3">
      <c r="A78" s="3" t="s">
        <v>77</v>
      </c>
      <c r="B78" s="18" t="s">
        <v>143</v>
      </c>
      <c r="C78" s="17" t="b">
        <v>1</v>
      </c>
      <c r="D78" s="9" t="b">
        <v>0</v>
      </c>
      <c r="E78" s="17" t="b">
        <v>1</v>
      </c>
      <c r="F78" s="9" t="b">
        <v>0</v>
      </c>
      <c r="G78" s="9" t="b">
        <v>0</v>
      </c>
      <c r="H78" s="17" t="b">
        <v>1</v>
      </c>
      <c r="I78" s="9" t="b">
        <v>0</v>
      </c>
      <c r="J78" s="17" t="b">
        <v>1</v>
      </c>
      <c r="K78" s="9" t="b">
        <v>0</v>
      </c>
      <c r="L78" s="9" t="b">
        <v>0</v>
      </c>
      <c r="M78" s="9" t="b">
        <v>0</v>
      </c>
      <c r="N78" s="9" t="b">
        <v>0</v>
      </c>
      <c r="O78" s="9" t="b">
        <v>0</v>
      </c>
      <c r="P78" s="9" t="b">
        <v>0</v>
      </c>
      <c r="Q78" s="9" t="b">
        <v>0</v>
      </c>
      <c r="R78" s="9" t="b">
        <v>0</v>
      </c>
      <c r="S78" s="9" t="b">
        <v>0</v>
      </c>
      <c r="T78" s="9" t="b">
        <v>0</v>
      </c>
      <c r="U78" s="9" t="b">
        <v>0</v>
      </c>
      <c r="V78" s="9" t="b">
        <v>0</v>
      </c>
      <c r="W78" cm="1">
        <f t="array" ref="W78">SUM(--C78:V78)</f>
        <v>4</v>
      </c>
    </row>
    <row r="79" spans="1:23" x14ac:dyDescent="0.3">
      <c r="A79" s="3" t="s">
        <v>78</v>
      </c>
      <c r="B79" s="18" t="s">
        <v>144</v>
      </c>
      <c r="C79" s="18" t="b">
        <v>0</v>
      </c>
      <c r="D79" s="9" t="b">
        <v>0</v>
      </c>
      <c r="E79" s="9" t="b">
        <v>0</v>
      </c>
      <c r="F79" s="9" t="b">
        <v>0</v>
      </c>
      <c r="G79" s="9" t="b">
        <v>0</v>
      </c>
      <c r="H79" s="9" t="b">
        <v>0</v>
      </c>
      <c r="I79" s="17" t="b">
        <v>1</v>
      </c>
      <c r="J79" s="17" t="b">
        <v>1</v>
      </c>
      <c r="K79" s="17" t="b">
        <v>1</v>
      </c>
      <c r="L79" s="9" t="b">
        <v>0</v>
      </c>
      <c r="M79" s="9" t="b">
        <v>0</v>
      </c>
      <c r="N79" s="17" t="b">
        <v>1</v>
      </c>
      <c r="O79" s="9" t="b">
        <v>0</v>
      </c>
      <c r="P79" s="9" t="b">
        <v>0</v>
      </c>
      <c r="Q79" s="9" t="b">
        <v>0</v>
      </c>
      <c r="R79" s="9" t="b">
        <v>0</v>
      </c>
      <c r="S79" s="9" t="b">
        <v>0</v>
      </c>
      <c r="T79" s="9" t="b">
        <v>0</v>
      </c>
      <c r="U79" s="9" t="b">
        <v>0</v>
      </c>
      <c r="V79" s="9" t="b">
        <v>0</v>
      </c>
      <c r="W79" cm="1">
        <f t="array" ref="W79">SUM(--C79:V79)</f>
        <v>4</v>
      </c>
    </row>
    <row r="80" spans="1:23" x14ac:dyDescent="0.3">
      <c r="A80" s="3" t="s">
        <v>78</v>
      </c>
      <c r="B80" s="19" t="s">
        <v>144</v>
      </c>
      <c r="C80" s="3" t="b">
        <v>0</v>
      </c>
      <c r="D80" s="3" t="b">
        <v>0</v>
      </c>
      <c r="E80" s="3" t="b">
        <v>0</v>
      </c>
      <c r="F80" s="3" t="b">
        <v>0</v>
      </c>
      <c r="G80" s="3" t="b">
        <v>0</v>
      </c>
      <c r="H80" s="3" t="b">
        <v>0</v>
      </c>
      <c r="I80" s="3" t="b">
        <v>0</v>
      </c>
      <c r="J80" s="3" t="b">
        <v>1</v>
      </c>
      <c r="K80" s="3" t="b">
        <v>1</v>
      </c>
      <c r="L80" s="3" t="b">
        <v>0</v>
      </c>
      <c r="M80" s="3" t="b">
        <v>0</v>
      </c>
      <c r="N80" s="3" t="b">
        <v>1</v>
      </c>
      <c r="O80" s="3" t="b">
        <v>0</v>
      </c>
      <c r="P80" s="3" t="b">
        <v>0</v>
      </c>
      <c r="Q80" s="3" t="b">
        <v>0</v>
      </c>
      <c r="R80" s="3" t="b">
        <v>0</v>
      </c>
      <c r="S80" s="3" t="b">
        <v>0</v>
      </c>
      <c r="T80" s="3" t="b">
        <v>0</v>
      </c>
      <c r="U80" s="3" t="b">
        <v>0</v>
      </c>
      <c r="V80" s="3" t="b">
        <v>0</v>
      </c>
      <c r="W80" cm="1">
        <f t="array" ref="W80">SUM(--C80:V80)</f>
        <v>3</v>
      </c>
    </row>
    <row r="81" spans="1:23" x14ac:dyDescent="0.3">
      <c r="A81" s="3" t="s">
        <v>79</v>
      </c>
      <c r="B81" s="19" t="s">
        <v>143</v>
      </c>
      <c r="C81" s="3" t="b">
        <v>0</v>
      </c>
      <c r="D81" s="3" t="b">
        <v>0</v>
      </c>
      <c r="E81" s="3" t="b">
        <v>0</v>
      </c>
      <c r="F81" s="3" t="b">
        <v>0</v>
      </c>
      <c r="G81" s="3" t="b">
        <v>0</v>
      </c>
      <c r="H81" s="3" t="b">
        <v>0</v>
      </c>
      <c r="I81" s="3" t="b">
        <v>0</v>
      </c>
      <c r="J81" s="3" t="b">
        <v>0</v>
      </c>
      <c r="K81" s="3" t="b">
        <v>0</v>
      </c>
      <c r="L81" s="3" t="b">
        <v>0</v>
      </c>
      <c r="M81" s="3" t="b">
        <v>0</v>
      </c>
      <c r="N81" s="3" t="b">
        <v>0</v>
      </c>
      <c r="O81" s="3" t="b">
        <v>0</v>
      </c>
      <c r="P81" s="3" t="b">
        <v>0</v>
      </c>
      <c r="Q81" s="3" t="b">
        <v>0</v>
      </c>
      <c r="R81" s="3" t="b">
        <v>0</v>
      </c>
      <c r="S81" s="3" t="b">
        <v>1</v>
      </c>
      <c r="T81" s="3" t="b">
        <v>0</v>
      </c>
      <c r="U81" s="3" t="b">
        <v>0</v>
      </c>
      <c r="V81" s="4" t="b">
        <v>0</v>
      </c>
      <c r="W81" cm="1">
        <f t="array" ref="W81">SUM(--C81:V81)</f>
        <v>1</v>
      </c>
    </row>
    <row r="82" spans="1:23" x14ac:dyDescent="0.3">
      <c r="A82" s="3" t="s">
        <v>80</v>
      </c>
      <c r="B82" s="19" t="s">
        <v>171</v>
      </c>
      <c r="C82" s="19" t="b">
        <v>0</v>
      </c>
      <c r="D82" s="8" t="b">
        <v>0</v>
      </c>
      <c r="E82" s="8" t="b">
        <v>0</v>
      </c>
      <c r="F82" s="8" t="b">
        <v>0</v>
      </c>
      <c r="G82" s="8" t="b">
        <v>0</v>
      </c>
      <c r="H82" s="17" t="b">
        <v>1</v>
      </c>
      <c r="I82" s="8" t="b">
        <v>0</v>
      </c>
      <c r="J82" s="8" t="b">
        <v>0</v>
      </c>
      <c r="K82" s="8" t="b">
        <v>0</v>
      </c>
      <c r="L82" s="8" t="b">
        <v>0</v>
      </c>
      <c r="M82" s="8" t="b">
        <v>0</v>
      </c>
      <c r="N82" s="8" t="b">
        <v>0</v>
      </c>
      <c r="O82" s="8" t="b">
        <v>0</v>
      </c>
      <c r="P82" s="8" t="b">
        <v>0</v>
      </c>
      <c r="Q82" s="8" t="b">
        <v>0</v>
      </c>
      <c r="R82" s="8" t="b">
        <v>0</v>
      </c>
      <c r="S82" s="8" t="b">
        <v>0</v>
      </c>
      <c r="T82" s="8" t="b">
        <v>0</v>
      </c>
      <c r="U82" s="8" t="b">
        <v>0</v>
      </c>
      <c r="V82" s="8" t="b">
        <v>0</v>
      </c>
      <c r="W82" cm="1">
        <f t="array" ref="W82">SUM(--C82:V82)</f>
        <v>1</v>
      </c>
    </row>
    <row r="83" spans="1:23" x14ac:dyDescent="0.3">
      <c r="A83" s="3" t="s">
        <v>81</v>
      </c>
      <c r="B83" s="19" t="s">
        <v>136</v>
      </c>
      <c r="C83" s="3" t="b">
        <v>0</v>
      </c>
      <c r="D83" s="3" t="b">
        <v>0</v>
      </c>
      <c r="E83" s="3" t="b">
        <v>0</v>
      </c>
      <c r="F83" s="3" t="b">
        <v>0</v>
      </c>
      <c r="G83" s="3" t="b">
        <v>0</v>
      </c>
      <c r="H83" s="3" t="b">
        <v>0</v>
      </c>
      <c r="I83" s="3" t="b">
        <v>1</v>
      </c>
      <c r="J83" s="3" t="b">
        <v>1</v>
      </c>
      <c r="K83" s="3" t="b">
        <v>1</v>
      </c>
      <c r="L83" s="3" t="b">
        <v>0</v>
      </c>
      <c r="M83" s="3" t="b">
        <v>0</v>
      </c>
      <c r="N83" s="3" t="b">
        <v>0</v>
      </c>
      <c r="O83" s="3" t="b">
        <v>0</v>
      </c>
      <c r="P83" s="3" t="b">
        <v>0</v>
      </c>
      <c r="Q83" s="3" t="b">
        <v>0</v>
      </c>
      <c r="R83" s="3" t="b">
        <v>0</v>
      </c>
      <c r="S83" s="3" t="b">
        <v>0</v>
      </c>
      <c r="T83" s="3" t="b">
        <v>0</v>
      </c>
      <c r="U83" s="3" t="b">
        <v>0</v>
      </c>
      <c r="V83" s="3" t="b">
        <v>0</v>
      </c>
      <c r="W83" cm="1">
        <f t="array" ref="W83">SUM(--C83:V83)</f>
        <v>3</v>
      </c>
    </row>
    <row r="84" spans="1:23" x14ac:dyDescent="0.3">
      <c r="A84" s="3" t="s">
        <v>82</v>
      </c>
      <c r="B84" s="19" t="s">
        <v>154</v>
      </c>
      <c r="C84" s="17" t="b">
        <v>1</v>
      </c>
      <c r="D84" s="8" t="b">
        <v>0</v>
      </c>
      <c r="E84" s="17" t="b">
        <v>1</v>
      </c>
      <c r="F84" s="8" t="b">
        <v>0</v>
      </c>
      <c r="G84" s="8" t="b">
        <v>0</v>
      </c>
      <c r="H84" s="17" t="b">
        <v>1</v>
      </c>
      <c r="I84" s="17" t="b">
        <v>1</v>
      </c>
      <c r="J84" s="17" t="b">
        <v>1</v>
      </c>
      <c r="K84" s="17" t="b">
        <v>1</v>
      </c>
      <c r="L84" s="8" t="b">
        <v>0</v>
      </c>
      <c r="M84" s="8" t="b">
        <v>0</v>
      </c>
      <c r="N84" s="8" t="b">
        <v>0</v>
      </c>
      <c r="O84" s="8" t="b">
        <v>0</v>
      </c>
      <c r="P84" s="8" t="b">
        <v>0</v>
      </c>
      <c r="Q84" s="8" t="b">
        <v>0</v>
      </c>
      <c r="R84" s="8" t="b">
        <v>0</v>
      </c>
      <c r="S84" s="8" t="b">
        <v>0</v>
      </c>
      <c r="T84" s="8" t="b">
        <v>0</v>
      </c>
      <c r="U84" s="8" t="b">
        <v>0</v>
      </c>
      <c r="V84" s="8" t="b">
        <v>0</v>
      </c>
      <c r="W84" cm="1">
        <f t="array" ref="W84">SUM(--C84:V84)</f>
        <v>6</v>
      </c>
    </row>
    <row r="85" spans="1:23" x14ac:dyDescent="0.3">
      <c r="A85" s="3" t="s">
        <v>83</v>
      </c>
      <c r="B85" s="19" t="s">
        <v>154</v>
      </c>
      <c r="C85" s="3" t="b">
        <v>1</v>
      </c>
      <c r="D85" s="3" t="b">
        <v>0</v>
      </c>
      <c r="E85" s="3" t="b">
        <v>1</v>
      </c>
      <c r="F85" s="3" t="b">
        <v>0</v>
      </c>
      <c r="G85" s="3" t="b">
        <v>0</v>
      </c>
      <c r="H85" s="3" t="b">
        <v>1</v>
      </c>
      <c r="I85" s="3" t="b">
        <v>1</v>
      </c>
      <c r="J85" s="3" t="b">
        <v>1</v>
      </c>
      <c r="K85" s="3" t="b">
        <v>1</v>
      </c>
      <c r="L85" s="3" t="b">
        <v>0</v>
      </c>
      <c r="M85" s="3" t="b">
        <v>0</v>
      </c>
      <c r="N85" s="3" t="b">
        <v>0</v>
      </c>
      <c r="O85" s="3" t="b">
        <v>0</v>
      </c>
      <c r="P85" s="3" t="b">
        <v>0</v>
      </c>
      <c r="Q85" s="3" t="b">
        <v>0</v>
      </c>
      <c r="R85" s="3" t="b">
        <v>0</v>
      </c>
      <c r="S85" s="3" t="b">
        <v>0</v>
      </c>
      <c r="T85" s="3" t="b">
        <v>0</v>
      </c>
      <c r="U85" s="3" t="b">
        <v>0</v>
      </c>
      <c r="V85" s="3" t="b">
        <v>0</v>
      </c>
      <c r="W85" cm="1">
        <f t="array" ref="W85">SUM(--C85:V85)</f>
        <v>6</v>
      </c>
    </row>
    <row r="86" spans="1:23" x14ac:dyDescent="0.3">
      <c r="A86" s="3" t="s">
        <v>84</v>
      </c>
      <c r="B86" s="19" t="s">
        <v>144</v>
      </c>
      <c r="C86" s="19" t="b">
        <v>0</v>
      </c>
      <c r="D86" s="8" t="b">
        <v>0</v>
      </c>
      <c r="E86" s="8" t="b">
        <v>0</v>
      </c>
      <c r="F86" s="8" t="b">
        <v>0</v>
      </c>
      <c r="G86" s="8" t="b">
        <v>0</v>
      </c>
      <c r="H86" s="8" t="b">
        <v>0</v>
      </c>
      <c r="I86" s="8" t="b">
        <v>0</v>
      </c>
      <c r="J86" s="8" t="b">
        <v>0</v>
      </c>
      <c r="K86" s="8" t="b">
        <v>0</v>
      </c>
      <c r="L86" s="8" t="b">
        <v>0</v>
      </c>
      <c r="M86" s="8" t="b">
        <v>0</v>
      </c>
      <c r="N86" s="8" t="b">
        <v>0</v>
      </c>
      <c r="O86" s="8" t="b">
        <v>0</v>
      </c>
      <c r="P86" s="8" t="b">
        <v>0</v>
      </c>
      <c r="Q86" s="8" t="b">
        <v>0</v>
      </c>
      <c r="R86" s="8" t="b">
        <v>0</v>
      </c>
      <c r="S86" s="17" t="b">
        <v>1</v>
      </c>
      <c r="T86" s="8" t="b">
        <v>0</v>
      </c>
      <c r="U86" s="8" t="b">
        <v>0</v>
      </c>
      <c r="V86" s="8" t="b">
        <v>0</v>
      </c>
      <c r="W86" cm="1">
        <f t="array" ref="W86">SUM(--C86:V86)</f>
        <v>1</v>
      </c>
    </row>
    <row r="87" spans="1:23" x14ac:dyDescent="0.3">
      <c r="A87" s="3" t="s">
        <v>85</v>
      </c>
      <c r="B87" s="18" t="s">
        <v>144</v>
      </c>
      <c r="C87" s="18" t="b">
        <v>0</v>
      </c>
      <c r="D87" s="9" t="b">
        <v>0</v>
      </c>
      <c r="E87" s="9" t="b">
        <v>0</v>
      </c>
      <c r="F87" s="9" t="b">
        <v>0</v>
      </c>
      <c r="G87" s="9" t="b">
        <v>0</v>
      </c>
      <c r="H87" s="9" t="b">
        <v>0</v>
      </c>
      <c r="I87" s="9" t="b">
        <v>0</v>
      </c>
      <c r="J87" s="9" t="b">
        <v>0</v>
      </c>
      <c r="K87" s="20" t="b">
        <v>0</v>
      </c>
      <c r="L87" s="18" t="b">
        <v>0</v>
      </c>
      <c r="M87" s="9" t="b">
        <v>0</v>
      </c>
      <c r="N87" s="9" t="b">
        <v>0</v>
      </c>
      <c r="O87" s="9" t="b">
        <v>0</v>
      </c>
      <c r="P87" s="9" t="b">
        <v>0</v>
      </c>
      <c r="Q87" s="9" t="b">
        <v>0</v>
      </c>
      <c r="R87" s="9" t="b">
        <v>0</v>
      </c>
      <c r="S87" s="17" t="b">
        <v>1</v>
      </c>
      <c r="T87" s="9" t="b">
        <v>0</v>
      </c>
      <c r="U87" s="9" t="b">
        <v>0</v>
      </c>
      <c r="V87" s="9" t="b">
        <v>0</v>
      </c>
      <c r="W87" cm="1">
        <f t="array" ref="W87">SUM(--C87:V87)</f>
        <v>1</v>
      </c>
    </row>
    <row r="88" spans="1:23" ht="28.8" x14ac:dyDescent="0.3">
      <c r="A88" s="3" t="s">
        <v>86</v>
      </c>
      <c r="B88" s="18" t="s">
        <v>172</v>
      </c>
      <c r="C88" s="18" t="b">
        <v>0</v>
      </c>
      <c r="D88" s="9" t="b">
        <v>0</v>
      </c>
      <c r="E88" s="9" t="b">
        <v>0</v>
      </c>
      <c r="F88" s="9" t="b">
        <v>0</v>
      </c>
      <c r="G88" s="9" t="b">
        <v>0</v>
      </c>
      <c r="H88" s="9" t="b">
        <v>0</v>
      </c>
      <c r="I88" s="9" t="b">
        <v>0</v>
      </c>
      <c r="J88" s="9" t="b">
        <v>0</v>
      </c>
      <c r="K88" s="8" t="b">
        <v>0</v>
      </c>
      <c r="L88" s="9" t="b">
        <v>0</v>
      </c>
      <c r="M88" s="9" t="b">
        <v>0</v>
      </c>
      <c r="N88" s="9" t="b">
        <v>0</v>
      </c>
      <c r="O88" s="9" t="b">
        <v>0</v>
      </c>
      <c r="P88" s="9" t="b">
        <v>0</v>
      </c>
      <c r="Q88" s="9" t="b">
        <v>0</v>
      </c>
      <c r="R88" s="9" t="b">
        <v>0</v>
      </c>
      <c r="S88" s="17" t="b">
        <v>1</v>
      </c>
      <c r="T88" s="17" t="b">
        <v>1</v>
      </c>
      <c r="U88" s="9" t="b">
        <v>0</v>
      </c>
      <c r="V88" s="9" t="b">
        <v>0</v>
      </c>
      <c r="W88" cm="1">
        <f t="array" ref="W88">SUM(--C88:V88)</f>
        <v>2</v>
      </c>
    </row>
    <row r="89" spans="1:23" x14ac:dyDescent="0.3">
      <c r="A89" s="3" t="s">
        <v>87</v>
      </c>
      <c r="B89" s="18" t="s">
        <v>144</v>
      </c>
      <c r="C89" s="18" t="b">
        <v>0</v>
      </c>
      <c r="D89" s="9" t="b">
        <v>0</v>
      </c>
      <c r="E89" s="9" t="b">
        <v>0</v>
      </c>
      <c r="F89" s="9" t="b">
        <v>0</v>
      </c>
      <c r="G89" s="9" t="b">
        <v>0</v>
      </c>
      <c r="H89" s="9" t="b">
        <v>0</v>
      </c>
      <c r="I89" s="9" t="b">
        <v>0</v>
      </c>
      <c r="J89" s="9" t="b">
        <v>0</v>
      </c>
      <c r="K89" s="9" t="b">
        <v>0</v>
      </c>
      <c r="L89" s="9" t="b">
        <v>0</v>
      </c>
      <c r="M89" s="9" t="b">
        <v>0</v>
      </c>
      <c r="N89" s="17" t="b">
        <v>1</v>
      </c>
      <c r="O89" s="9" t="b">
        <v>0</v>
      </c>
      <c r="P89" s="9" t="b">
        <v>0</v>
      </c>
      <c r="Q89" s="9" t="b">
        <v>0</v>
      </c>
      <c r="R89" s="9" t="b">
        <v>0</v>
      </c>
      <c r="S89" s="9" t="b">
        <v>0</v>
      </c>
      <c r="T89" s="17" t="b">
        <v>1</v>
      </c>
      <c r="U89" s="9" t="b">
        <v>0</v>
      </c>
      <c r="V89" s="9" t="b">
        <v>0</v>
      </c>
      <c r="W89" cm="1">
        <f t="array" ref="W89">SUM(--C89:V89)</f>
        <v>2</v>
      </c>
    </row>
    <row r="90" spans="1:23" x14ac:dyDescent="0.3">
      <c r="A90" s="3" t="s">
        <v>88</v>
      </c>
      <c r="B90" s="18" t="s">
        <v>173</v>
      </c>
      <c r="C90" s="17" t="b">
        <v>1</v>
      </c>
      <c r="D90" s="9" t="b">
        <v>0</v>
      </c>
      <c r="E90" s="17" t="b">
        <v>1</v>
      </c>
      <c r="F90" s="9" t="b">
        <v>0</v>
      </c>
      <c r="G90" s="9" t="b">
        <v>0</v>
      </c>
      <c r="H90" s="17" t="b">
        <v>1</v>
      </c>
      <c r="I90" s="17" t="b">
        <v>1</v>
      </c>
      <c r="J90" s="17" t="b">
        <v>1</v>
      </c>
      <c r="K90" s="17" t="b">
        <v>1</v>
      </c>
      <c r="L90" s="9" t="b">
        <v>0</v>
      </c>
      <c r="M90" s="9" t="b">
        <v>0</v>
      </c>
      <c r="N90" s="9" t="b">
        <v>0</v>
      </c>
      <c r="O90" s="9" t="b">
        <v>0</v>
      </c>
      <c r="P90" s="9" t="b">
        <v>0</v>
      </c>
      <c r="Q90" s="9" t="b">
        <v>0</v>
      </c>
      <c r="R90" s="9" t="b">
        <v>0</v>
      </c>
      <c r="S90" s="9" t="b">
        <v>0</v>
      </c>
      <c r="T90" s="9" t="b">
        <v>0</v>
      </c>
      <c r="U90" s="9" t="b">
        <v>0</v>
      </c>
      <c r="V90" s="9" t="b">
        <v>0</v>
      </c>
      <c r="W90" cm="1">
        <f t="array" ref="W90">SUM(--C90:V90)</f>
        <v>6</v>
      </c>
    </row>
    <row r="91" spans="1:23" ht="28.8" x14ac:dyDescent="0.3">
      <c r="A91" s="3" t="s">
        <v>89</v>
      </c>
      <c r="B91" s="18" t="s">
        <v>174</v>
      </c>
      <c r="C91" s="18" t="b">
        <v>0</v>
      </c>
      <c r="D91" s="9" t="b">
        <v>0</v>
      </c>
      <c r="E91" s="9" t="b">
        <v>0</v>
      </c>
      <c r="F91" s="9" t="b">
        <v>0</v>
      </c>
      <c r="G91" s="9" t="b">
        <v>0</v>
      </c>
      <c r="H91" s="19" t="b">
        <v>0</v>
      </c>
      <c r="I91" s="9" t="b">
        <v>0</v>
      </c>
      <c r="J91" s="17" t="b">
        <v>1</v>
      </c>
      <c r="K91" s="9" t="b">
        <v>0</v>
      </c>
      <c r="L91" s="9" t="b">
        <v>0</v>
      </c>
      <c r="M91" s="9" t="b">
        <v>0</v>
      </c>
      <c r="N91" s="9" t="b">
        <v>0</v>
      </c>
      <c r="O91" s="9" t="b">
        <v>0</v>
      </c>
      <c r="P91" s="9" t="b">
        <v>0</v>
      </c>
      <c r="Q91" s="9" t="b">
        <v>0</v>
      </c>
      <c r="R91" s="9" t="b">
        <v>0</v>
      </c>
      <c r="S91" s="9" t="b">
        <v>0</v>
      </c>
      <c r="T91" s="9" t="b">
        <v>0</v>
      </c>
      <c r="U91" s="9" t="b">
        <v>0</v>
      </c>
      <c r="V91" s="9" t="b">
        <v>0</v>
      </c>
      <c r="W91" cm="1">
        <f t="array" ref="W91">SUM(--C91:V91)</f>
        <v>1</v>
      </c>
    </row>
    <row r="92" spans="1:23" x14ac:dyDescent="0.3">
      <c r="A92" s="3" t="s">
        <v>90</v>
      </c>
      <c r="B92" s="18" t="s">
        <v>147</v>
      </c>
      <c r="C92" s="18" t="b">
        <v>0</v>
      </c>
      <c r="D92" s="9" t="b">
        <v>0</v>
      </c>
      <c r="E92" s="9" t="b">
        <v>0</v>
      </c>
      <c r="F92" s="9" t="b">
        <v>0</v>
      </c>
      <c r="G92" s="9" t="b">
        <v>0</v>
      </c>
      <c r="H92" s="9" t="b">
        <v>0</v>
      </c>
      <c r="I92" s="17" t="b">
        <v>1</v>
      </c>
      <c r="J92" s="9" t="b">
        <v>0</v>
      </c>
      <c r="K92" s="9" t="b">
        <v>0</v>
      </c>
      <c r="L92" s="9" t="b">
        <v>0</v>
      </c>
      <c r="M92" s="9" t="b">
        <v>0</v>
      </c>
      <c r="N92" s="9" t="b">
        <v>0</v>
      </c>
      <c r="O92" s="9" t="b">
        <v>0</v>
      </c>
      <c r="P92" s="9" t="b">
        <v>0</v>
      </c>
      <c r="Q92" s="9" t="b">
        <v>0</v>
      </c>
      <c r="R92" s="9" t="b">
        <v>0</v>
      </c>
      <c r="S92" s="9" t="b">
        <v>0</v>
      </c>
      <c r="T92" s="17" t="b">
        <v>1</v>
      </c>
      <c r="U92" s="17" t="b">
        <v>1</v>
      </c>
      <c r="V92" s="9" t="b">
        <v>0</v>
      </c>
      <c r="W92" cm="1">
        <f t="array" ref="W92">SUM(--C92:V92)</f>
        <v>3</v>
      </c>
    </row>
    <row r="93" spans="1:23" x14ac:dyDescent="0.3">
      <c r="A93" s="3" t="s">
        <v>91</v>
      </c>
      <c r="B93" s="18" t="s">
        <v>144</v>
      </c>
      <c r="C93" s="18" t="b">
        <v>0</v>
      </c>
      <c r="D93" s="9" t="b">
        <v>0</v>
      </c>
      <c r="E93" s="9" t="b">
        <v>0</v>
      </c>
      <c r="F93" s="9" t="b">
        <v>0</v>
      </c>
      <c r="G93" s="9" t="b">
        <v>0</v>
      </c>
      <c r="H93" s="17" t="b">
        <v>1</v>
      </c>
      <c r="I93" s="17" t="b">
        <v>1</v>
      </c>
      <c r="J93" s="17" t="b">
        <v>1</v>
      </c>
      <c r="K93" s="9" t="b">
        <v>0</v>
      </c>
      <c r="L93" s="9" t="b">
        <v>0</v>
      </c>
      <c r="M93" s="9" t="b">
        <v>0</v>
      </c>
      <c r="N93" s="9" t="b">
        <v>0</v>
      </c>
      <c r="O93" s="9" t="b">
        <v>0</v>
      </c>
      <c r="P93" s="9" t="b">
        <v>0</v>
      </c>
      <c r="Q93" s="9" t="b">
        <v>0</v>
      </c>
      <c r="R93" s="9" t="b">
        <v>0</v>
      </c>
      <c r="S93" s="9" t="b">
        <v>0</v>
      </c>
      <c r="T93" s="9" t="b">
        <v>0</v>
      </c>
      <c r="U93" s="9" t="b">
        <v>0</v>
      </c>
      <c r="V93" s="9" t="b">
        <v>0</v>
      </c>
      <c r="W93" cm="1">
        <f t="array" ref="W93">SUM(--C93:V93)</f>
        <v>3</v>
      </c>
    </row>
    <row r="94" spans="1:23" x14ac:dyDescent="0.3">
      <c r="A94" s="3" t="s">
        <v>92</v>
      </c>
      <c r="B94" s="31" t="s">
        <v>143</v>
      </c>
      <c r="C94" s="21" t="b">
        <v>0</v>
      </c>
      <c r="D94" s="22" t="b">
        <v>0</v>
      </c>
      <c r="E94" s="22" t="b">
        <v>0</v>
      </c>
      <c r="F94" s="22" t="b">
        <v>0</v>
      </c>
      <c r="G94" s="22" t="b">
        <v>0</v>
      </c>
      <c r="H94" s="23" t="b">
        <v>1</v>
      </c>
      <c r="I94" s="23" t="b">
        <v>1</v>
      </c>
      <c r="J94" s="23" t="b">
        <v>1</v>
      </c>
      <c r="K94" s="23" t="b">
        <v>1</v>
      </c>
      <c r="L94" s="22" t="b">
        <v>0</v>
      </c>
      <c r="M94" s="22" t="b">
        <v>0</v>
      </c>
      <c r="N94" s="22" t="b">
        <v>0</v>
      </c>
      <c r="O94" s="22" t="b">
        <v>0</v>
      </c>
      <c r="P94" s="22" t="b">
        <v>0</v>
      </c>
      <c r="Q94" s="22" t="b">
        <v>0</v>
      </c>
      <c r="R94" s="22" t="b">
        <v>0</v>
      </c>
      <c r="S94" s="22" t="b">
        <v>0</v>
      </c>
      <c r="T94" s="22" t="b">
        <v>0</v>
      </c>
      <c r="U94" s="22" t="b">
        <v>0</v>
      </c>
      <c r="V94" s="22" t="b">
        <v>0</v>
      </c>
      <c r="W94" cm="1">
        <f t="array" ref="W94">SUM(--C94:V94)</f>
        <v>4</v>
      </c>
    </row>
    <row r="95" spans="1:23" x14ac:dyDescent="0.3">
      <c r="A95" s="3" t="s">
        <v>93</v>
      </c>
      <c r="B95" s="15" t="s">
        <v>136</v>
      </c>
      <c r="C95" s="24" t="b">
        <v>0</v>
      </c>
      <c r="D95" s="25" t="b">
        <v>0</v>
      </c>
      <c r="E95" s="25" t="b">
        <v>0</v>
      </c>
      <c r="F95" s="25" t="b">
        <v>0</v>
      </c>
      <c r="G95" s="25" t="b">
        <v>0</v>
      </c>
      <c r="H95" s="25" t="b">
        <v>0</v>
      </c>
      <c r="I95" s="25" t="b">
        <v>0</v>
      </c>
      <c r="J95" s="25" t="b">
        <v>0</v>
      </c>
      <c r="K95" s="25" t="b">
        <v>0</v>
      </c>
      <c r="L95" s="25" t="b">
        <v>0</v>
      </c>
      <c r="M95" s="25" t="b">
        <v>0</v>
      </c>
      <c r="N95" s="23" t="b">
        <v>1</v>
      </c>
      <c r="O95" s="23" t="b">
        <v>1</v>
      </c>
      <c r="P95" s="25" t="b">
        <v>0</v>
      </c>
      <c r="Q95" s="25" t="b">
        <v>0</v>
      </c>
      <c r="R95" s="25" t="b">
        <v>0</v>
      </c>
      <c r="S95" s="25" t="b">
        <v>0</v>
      </c>
      <c r="T95" s="25" t="b">
        <v>0</v>
      </c>
      <c r="U95" s="25" t="b">
        <v>0</v>
      </c>
      <c r="V95" s="17" t="b">
        <v>1</v>
      </c>
      <c r="W95" cm="1">
        <f t="array" ref="W95">SUM(--C95:V95)</f>
        <v>3</v>
      </c>
    </row>
    <row r="96" spans="1:23" x14ac:dyDescent="0.3">
      <c r="A96" s="3" t="s">
        <v>94</v>
      </c>
      <c r="B96" s="15" t="s">
        <v>136</v>
      </c>
      <c r="C96" s="23" t="b">
        <v>1</v>
      </c>
      <c r="D96" s="25" t="b">
        <v>0</v>
      </c>
      <c r="E96" s="25" t="b">
        <v>0</v>
      </c>
      <c r="F96" s="25" t="b">
        <v>0</v>
      </c>
      <c r="G96" s="25" t="b">
        <v>0</v>
      </c>
      <c r="H96" s="23" t="b">
        <v>1</v>
      </c>
      <c r="I96" s="23" t="b">
        <v>1</v>
      </c>
      <c r="J96" s="23" t="b">
        <v>1</v>
      </c>
      <c r="K96" s="23" t="b">
        <v>1</v>
      </c>
      <c r="L96" s="25" t="b">
        <v>0</v>
      </c>
      <c r="M96" s="25" t="b">
        <v>0</v>
      </c>
      <c r="N96" s="25" t="b">
        <v>0</v>
      </c>
      <c r="O96" s="25" t="b">
        <v>0</v>
      </c>
      <c r="P96" s="25" t="b">
        <v>0</v>
      </c>
      <c r="Q96" s="25" t="b">
        <v>0</v>
      </c>
      <c r="R96" s="25" t="b">
        <v>0</v>
      </c>
      <c r="S96" s="25" t="b">
        <v>0</v>
      </c>
      <c r="T96" s="25" t="b">
        <v>0</v>
      </c>
      <c r="U96" s="25" t="b">
        <v>0</v>
      </c>
      <c r="V96" s="25" t="b">
        <v>0</v>
      </c>
      <c r="W96" cm="1">
        <f t="array" ref="W96">SUM(--C96:V96)</f>
        <v>5</v>
      </c>
    </row>
    <row r="97" spans="1:23" x14ac:dyDescent="0.3">
      <c r="A97" s="3" t="s">
        <v>95</v>
      </c>
      <c r="B97" s="6" t="s">
        <v>173</v>
      </c>
      <c r="C97" s="26" t="b">
        <v>1</v>
      </c>
      <c r="D97" s="27" t="b">
        <v>0</v>
      </c>
      <c r="E97" s="26" t="b">
        <v>1</v>
      </c>
      <c r="F97" s="27" t="b">
        <v>0</v>
      </c>
      <c r="G97" s="27" t="b">
        <v>0</v>
      </c>
      <c r="H97" s="27" t="b">
        <v>0</v>
      </c>
      <c r="I97" s="24" t="b">
        <v>0</v>
      </c>
      <c r="J97" s="27" t="b">
        <v>0</v>
      </c>
      <c r="K97" s="24" t="b">
        <v>0</v>
      </c>
      <c r="L97" s="25" t="b">
        <v>0</v>
      </c>
      <c r="M97" s="25" t="b">
        <v>0</v>
      </c>
      <c r="N97" s="27" t="b">
        <v>0</v>
      </c>
      <c r="O97" s="27" t="b">
        <v>0</v>
      </c>
      <c r="P97" s="27" t="b">
        <v>0</v>
      </c>
      <c r="Q97" s="24" t="b">
        <v>0</v>
      </c>
      <c r="R97" s="27" t="b">
        <v>0</v>
      </c>
      <c r="S97" s="27" t="b">
        <v>0</v>
      </c>
      <c r="T97" s="27" t="b">
        <v>0</v>
      </c>
      <c r="U97" s="27" t="b">
        <v>0</v>
      </c>
      <c r="V97" s="27" t="b">
        <v>0</v>
      </c>
      <c r="W97" cm="1">
        <f t="array" ref="W97">SUM(--C97:V97)</f>
        <v>2</v>
      </c>
    </row>
    <row r="98" spans="1:23" x14ac:dyDescent="0.3">
      <c r="A98" s="3" t="s">
        <v>96</v>
      </c>
      <c r="B98" s="31" t="s">
        <v>173</v>
      </c>
      <c r="C98" s="21" t="b">
        <v>0</v>
      </c>
      <c r="D98" s="22" t="b">
        <v>0</v>
      </c>
      <c r="E98" s="23" t="b">
        <v>1</v>
      </c>
      <c r="F98" s="22" t="b">
        <v>0</v>
      </c>
      <c r="G98" s="22" t="b">
        <v>0</v>
      </c>
      <c r="H98" s="22" t="b">
        <v>0</v>
      </c>
      <c r="I98" s="25" t="b">
        <v>0</v>
      </c>
      <c r="J98" s="22" t="b">
        <v>0</v>
      </c>
      <c r="K98" s="25" t="b">
        <v>0</v>
      </c>
      <c r="L98" s="25" t="b">
        <v>0</v>
      </c>
      <c r="M98" s="25" t="b">
        <v>0</v>
      </c>
      <c r="N98" s="22" t="b">
        <v>0</v>
      </c>
      <c r="O98" s="22" t="b">
        <v>0</v>
      </c>
      <c r="P98" s="22" t="b">
        <v>0</v>
      </c>
      <c r="Q98" s="25" t="b">
        <v>0</v>
      </c>
      <c r="R98" s="22" t="b">
        <v>0</v>
      </c>
      <c r="S98" s="22" t="b">
        <v>0</v>
      </c>
      <c r="T98" s="22" t="b">
        <v>0</v>
      </c>
      <c r="U98" s="22" t="b">
        <v>0</v>
      </c>
      <c r="V98" s="25" t="b">
        <v>0</v>
      </c>
      <c r="W98" cm="1">
        <f t="array" ref="W98">SUM(--C98:V98)</f>
        <v>1</v>
      </c>
    </row>
    <row r="99" spans="1:23" x14ac:dyDescent="0.3">
      <c r="A99" s="3" t="s">
        <v>97</v>
      </c>
      <c r="B99" s="15" t="s">
        <v>137</v>
      </c>
      <c r="C99" s="23" t="b">
        <v>1</v>
      </c>
      <c r="D99" s="25" t="b">
        <v>0</v>
      </c>
      <c r="E99" s="23" t="b">
        <v>1</v>
      </c>
      <c r="F99" s="25" t="b">
        <v>0</v>
      </c>
      <c r="G99" s="25" t="b">
        <v>0</v>
      </c>
      <c r="H99" s="25" t="b">
        <v>0</v>
      </c>
      <c r="I99" s="23" t="b">
        <v>1</v>
      </c>
      <c r="J99" s="23" t="b">
        <v>1</v>
      </c>
      <c r="K99" s="23" t="b">
        <v>1</v>
      </c>
      <c r="L99" s="25" t="b">
        <v>0</v>
      </c>
      <c r="M99" s="25" t="b">
        <v>0</v>
      </c>
      <c r="N99" s="23" t="b">
        <v>1</v>
      </c>
      <c r="O99" s="25" t="b">
        <v>0</v>
      </c>
      <c r="P99" s="25" t="b">
        <v>0</v>
      </c>
      <c r="Q99" s="25" t="b">
        <v>0</v>
      </c>
      <c r="R99" s="25" t="b">
        <v>0</v>
      </c>
      <c r="S99" s="25" t="b">
        <v>0</v>
      </c>
      <c r="T99" s="25" t="b">
        <v>0</v>
      </c>
      <c r="U99" s="25" t="b">
        <v>0</v>
      </c>
      <c r="V99" s="17" t="b">
        <v>1</v>
      </c>
      <c r="W99" cm="1">
        <f t="array" ref="W99">SUM(--C99:V99)</f>
        <v>7</v>
      </c>
    </row>
    <row r="100" spans="1:23" x14ac:dyDescent="0.3">
      <c r="A100" s="3" t="s">
        <v>98</v>
      </c>
      <c r="B100" s="15" t="s">
        <v>137</v>
      </c>
      <c r="C100" s="23" t="b">
        <v>1</v>
      </c>
      <c r="D100" s="25" t="b">
        <v>0</v>
      </c>
      <c r="E100" s="23" t="b">
        <v>1</v>
      </c>
      <c r="F100" s="25" t="b">
        <v>0</v>
      </c>
      <c r="G100" s="25" t="b">
        <v>0</v>
      </c>
      <c r="H100" s="23" t="b">
        <v>1</v>
      </c>
      <c r="I100" s="23" t="b">
        <v>1</v>
      </c>
      <c r="J100" s="23" t="b">
        <v>1</v>
      </c>
      <c r="K100" s="23" t="b">
        <v>1</v>
      </c>
      <c r="L100" s="25" t="b">
        <v>0</v>
      </c>
      <c r="M100" s="25" t="b">
        <v>0</v>
      </c>
      <c r="N100" s="23" t="b">
        <v>1</v>
      </c>
      <c r="O100" s="25" t="b">
        <v>0</v>
      </c>
      <c r="P100" s="25" t="b">
        <v>0</v>
      </c>
      <c r="Q100" s="23" t="b">
        <v>1</v>
      </c>
      <c r="R100" s="23" t="b">
        <v>1</v>
      </c>
      <c r="S100" s="25" t="b">
        <v>0</v>
      </c>
      <c r="T100" s="23" t="b">
        <v>1</v>
      </c>
      <c r="U100" s="25" t="b">
        <v>0</v>
      </c>
      <c r="V100" s="25" t="b">
        <v>0</v>
      </c>
      <c r="W100" cm="1">
        <f t="array" ref="W100">SUM(--C100:V100)</f>
        <v>10</v>
      </c>
    </row>
    <row r="101" spans="1:23" x14ac:dyDescent="0.3">
      <c r="A101" s="3" t="s">
        <v>99</v>
      </c>
      <c r="B101" s="15" t="s">
        <v>136</v>
      </c>
      <c r="C101" s="24" t="b">
        <v>0</v>
      </c>
      <c r="D101" s="25" t="b">
        <v>0</v>
      </c>
      <c r="E101" s="25" t="b">
        <v>0</v>
      </c>
      <c r="F101" s="25" t="b">
        <v>0</v>
      </c>
      <c r="G101" s="25" t="b">
        <v>0</v>
      </c>
      <c r="H101" s="25" t="b">
        <v>0</v>
      </c>
      <c r="I101" s="23" t="b">
        <v>1</v>
      </c>
      <c r="J101" s="23" t="b">
        <v>1</v>
      </c>
      <c r="K101" s="23" t="b">
        <v>1</v>
      </c>
      <c r="L101" s="25" t="b">
        <v>0</v>
      </c>
      <c r="M101" s="25" t="b">
        <v>0</v>
      </c>
      <c r="N101" s="23" t="b">
        <v>1</v>
      </c>
      <c r="O101" s="25" t="b">
        <v>0</v>
      </c>
      <c r="P101" s="25" t="b">
        <v>0</v>
      </c>
      <c r="Q101" s="23" t="b">
        <v>1</v>
      </c>
      <c r="R101" s="25" t="b">
        <v>0</v>
      </c>
      <c r="S101" s="25" t="b">
        <v>0</v>
      </c>
      <c r="T101" s="23" t="b">
        <v>1</v>
      </c>
      <c r="U101" s="25" t="b">
        <v>0</v>
      </c>
      <c r="V101" s="25" t="b">
        <v>0</v>
      </c>
      <c r="W101" cm="1">
        <f t="array" ref="W101">SUM(--C101:V101)</f>
        <v>6</v>
      </c>
    </row>
    <row r="102" spans="1:23" x14ac:dyDescent="0.3">
      <c r="A102" s="3" t="s">
        <v>100</v>
      </c>
      <c r="B102" s="15" t="s">
        <v>173</v>
      </c>
      <c r="C102" s="24" t="b">
        <v>0</v>
      </c>
      <c r="D102" s="25" t="b">
        <v>0</v>
      </c>
      <c r="E102" s="25" t="b">
        <v>0</v>
      </c>
      <c r="F102" s="25" t="b">
        <v>0</v>
      </c>
      <c r="G102" s="25" t="b">
        <v>0</v>
      </c>
      <c r="H102" s="25" t="b">
        <v>0</v>
      </c>
      <c r="I102" s="23" t="b">
        <v>1</v>
      </c>
      <c r="J102" s="23" t="b">
        <v>1</v>
      </c>
      <c r="K102" s="23" t="b">
        <v>1</v>
      </c>
      <c r="L102" s="25" t="b">
        <v>0</v>
      </c>
      <c r="M102" s="25" t="b">
        <v>0</v>
      </c>
      <c r="N102" s="25" t="b">
        <v>0</v>
      </c>
      <c r="O102" s="25" t="b">
        <v>0</v>
      </c>
      <c r="P102" s="25" t="b">
        <v>0</v>
      </c>
      <c r="Q102" s="25" t="b">
        <v>0</v>
      </c>
      <c r="R102" s="25" t="b">
        <v>0</v>
      </c>
      <c r="S102" s="25" t="b">
        <v>0</v>
      </c>
      <c r="T102" s="25" t="b">
        <v>0</v>
      </c>
      <c r="U102" s="25" t="b">
        <v>0</v>
      </c>
      <c r="V102" s="25" t="b">
        <v>0</v>
      </c>
      <c r="W102" cm="1">
        <f t="array" ref="W102">SUM(--C102:V102)</f>
        <v>3</v>
      </c>
    </row>
    <row r="103" spans="1:23" x14ac:dyDescent="0.3">
      <c r="A103" s="3" t="s">
        <v>101</v>
      </c>
      <c r="B103" s="19" t="s">
        <v>154</v>
      </c>
      <c r="C103" s="28" t="b">
        <v>1</v>
      </c>
      <c r="D103" s="10" t="b">
        <v>0</v>
      </c>
      <c r="E103" s="10" t="b">
        <v>0</v>
      </c>
      <c r="F103" s="10" t="b">
        <v>0</v>
      </c>
      <c r="G103" s="10" t="b">
        <v>0</v>
      </c>
      <c r="H103" s="10" t="b">
        <v>0</v>
      </c>
      <c r="I103" s="28" t="b">
        <v>1</v>
      </c>
      <c r="J103" s="28" t="b">
        <v>1</v>
      </c>
      <c r="K103" s="10" t="b">
        <v>0</v>
      </c>
      <c r="L103" s="10" t="b">
        <v>0</v>
      </c>
      <c r="M103" s="28" t="b">
        <v>1</v>
      </c>
      <c r="N103" s="28" t="b">
        <v>1</v>
      </c>
      <c r="O103" s="10" t="b">
        <v>0</v>
      </c>
      <c r="P103" s="28" t="b">
        <v>1</v>
      </c>
      <c r="Q103" s="10" t="b">
        <v>0</v>
      </c>
      <c r="R103" s="10" t="b">
        <v>0</v>
      </c>
      <c r="S103" s="10" t="b">
        <v>0</v>
      </c>
      <c r="T103" s="10" t="b">
        <v>0</v>
      </c>
      <c r="U103" s="10" t="b">
        <v>0</v>
      </c>
      <c r="V103" s="17" t="b">
        <v>1</v>
      </c>
      <c r="W103" cm="1">
        <f t="array" ref="W103">SUM(--C103:V103)</f>
        <v>7</v>
      </c>
    </row>
    <row r="104" spans="1:23" x14ac:dyDescent="0.3">
      <c r="A104" s="3" t="s">
        <v>102</v>
      </c>
      <c r="B104" s="18" t="s">
        <v>144</v>
      </c>
      <c r="C104" s="28" t="b">
        <v>1</v>
      </c>
      <c r="D104" s="11" t="b">
        <v>0</v>
      </c>
      <c r="E104" s="11" t="b">
        <v>0</v>
      </c>
      <c r="F104" s="11" t="b">
        <v>0</v>
      </c>
      <c r="G104" s="11" t="b">
        <v>0</v>
      </c>
      <c r="H104" s="11" t="b">
        <v>0</v>
      </c>
      <c r="I104" s="11" t="b">
        <v>0</v>
      </c>
      <c r="J104" s="28" t="b">
        <v>1</v>
      </c>
      <c r="K104" s="28" t="b">
        <v>1</v>
      </c>
      <c r="L104" s="11" t="b">
        <v>0</v>
      </c>
      <c r="M104" s="11" t="b">
        <v>0</v>
      </c>
      <c r="N104" s="11" t="b">
        <v>0</v>
      </c>
      <c r="O104" s="11" t="b">
        <v>0</v>
      </c>
      <c r="P104" s="11" t="b">
        <v>0</v>
      </c>
      <c r="Q104" s="11" t="b">
        <v>0</v>
      </c>
      <c r="R104" s="11" t="b">
        <v>0</v>
      </c>
      <c r="S104" s="11" t="b">
        <v>0</v>
      </c>
      <c r="T104" s="11" t="b">
        <v>0</v>
      </c>
      <c r="U104" s="11" t="b">
        <v>0</v>
      </c>
      <c r="V104" s="17" t="b">
        <v>1</v>
      </c>
      <c r="W104" cm="1">
        <f t="array" ref="W104">SUM(--C104:V104)</f>
        <v>4</v>
      </c>
    </row>
    <row r="105" spans="1:23" x14ac:dyDescent="0.3">
      <c r="A105" s="3" t="s">
        <v>103</v>
      </c>
      <c r="B105" s="18" t="s">
        <v>136</v>
      </c>
      <c r="C105" s="29" t="b">
        <v>0</v>
      </c>
      <c r="D105" s="11" t="b">
        <v>0</v>
      </c>
      <c r="E105" s="11" t="b">
        <v>0</v>
      </c>
      <c r="F105" s="11" t="b">
        <v>0</v>
      </c>
      <c r="G105" s="11" t="b">
        <v>0</v>
      </c>
      <c r="H105" s="11" t="b">
        <v>0</v>
      </c>
      <c r="I105" s="28" t="b">
        <v>1</v>
      </c>
      <c r="J105" s="11" t="b">
        <v>0</v>
      </c>
      <c r="K105" s="11" t="b">
        <v>0</v>
      </c>
      <c r="L105" s="11" t="b">
        <v>0</v>
      </c>
      <c r="M105" s="11" t="b">
        <v>0</v>
      </c>
      <c r="N105" s="11" t="b">
        <v>0</v>
      </c>
      <c r="O105" s="11" t="b">
        <v>0</v>
      </c>
      <c r="P105" s="11" t="b">
        <v>0</v>
      </c>
      <c r="Q105" s="11" t="b">
        <v>0</v>
      </c>
      <c r="R105" s="11" t="b">
        <v>0</v>
      </c>
      <c r="S105" s="11" t="b">
        <v>0</v>
      </c>
      <c r="T105" s="11" t="b">
        <v>0</v>
      </c>
      <c r="U105" s="11" t="b">
        <v>0</v>
      </c>
      <c r="V105" s="11" t="b">
        <v>0</v>
      </c>
      <c r="W105" cm="1">
        <f t="array" ref="W105">SUM(--C105:V105)</f>
        <v>1</v>
      </c>
    </row>
    <row r="106" spans="1:23" x14ac:dyDescent="0.3">
      <c r="A106" s="3" t="s">
        <v>104</v>
      </c>
      <c r="B106" s="18" t="s">
        <v>138</v>
      </c>
      <c r="C106" s="29" t="b">
        <v>0</v>
      </c>
      <c r="D106" s="11" t="b">
        <v>0</v>
      </c>
      <c r="E106" s="11" t="b">
        <v>0</v>
      </c>
      <c r="F106" s="11" t="b">
        <v>0</v>
      </c>
      <c r="G106" s="11" t="b">
        <v>0</v>
      </c>
      <c r="H106" s="11" t="b">
        <v>0</v>
      </c>
      <c r="I106" s="28" t="b">
        <v>1</v>
      </c>
      <c r="J106" s="11" t="b">
        <v>0</v>
      </c>
      <c r="K106" s="11" t="b">
        <v>0</v>
      </c>
      <c r="L106" s="28" t="b">
        <v>1</v>
      </c>
      <c r="M106" s="11" t="b">
        <v>0</v>
      </c>
      <c r="N106" s="11" t="b">
        <v>0</v>
      </c>
      <c r="O106" s="11" t="b">
        <v>0</v>
      </c>
      <c r="P106" s="11" t="b">
        <v>0</v>
      </c>
      <c r="Q106" s="11" t="b">
        <v>0</v>
      </c>
      <c r="R106" s="11" t="b">
        <v>0</v>
      </c>
      <c r="S106" s="11" t="b">
        <v>0</v>
      </c>
      <c r="T106" s="11" t="b">
        <v>0</v>
      </c>
      <c r="U106" s="11" t="b">
        <v>0</v>
      </c>
      <c r="V106" s="11" t="b">
        <v>0</v>
      </c>
      <c r="W106" cm="1">
        <f t="array" ref="W106">SUM(--C106:V106)</f>
        <v>2</v>
      </c>
    </row>
    <row r="107" spans="1:23" x14ac:dyDescent="0.3">
      <c r="A107" s="3" t="s">
        <v>105</v>
      </c>
      <c r="B107" s="18" t="s">
        <v>144</v>
      </c>
      <c r="C107" s="28" t="b">
        <v>1</v>
      </c>
      <c r="D107" s="11" t="b">
        <v>0</v>
      </c>
      <c r="E107" s="28" t="b">
        <v>1</v>
      </c>
      <c r="F107" s="28" t="b">
        <v>1</v>
      </c>
      <c r="G107" s="11" t="b">
        <v>0</v>
      </c>
      <c r="H107" s="11" t="b">
        <v>0</v>
      </c>
      <c r="I107" s="28" t="b">
        <v>1</v>
      </c>
      <c r="J107" s="11" t="b">
        <v>0</v>
      </c>
      <c r="K107" s="11" t="b">
        <v>0</v>
      </c>
      <c r="L107" s="11" t="b">
        <v>0</v>
      </c>
      <c r="M107" s="11" t="b">
        <v>0</v>
      </c>
      <c r="N107" s="11" t="b">
        <v>0</v>
      </c>
      <c r="O107" s="11" t="b">
        <v>0</v>
      </c>
      <c r="P107" s="11" t="b">
        <v>0</v>
      </c>
      <c r="Q107" s="11" t="b">
        <v>0</v>
      </c>
      <c r="R107" s="11" t="b">
        <v>0</v>
      </c>
      <c r="S107" s="11" t="b">
        <v>0</v>
      </c>
      <c r="T107" s="28" t="b">
        <v>1</v>
      </c>
      <c r="U107" s="11" t="b">
        <v>0</v>
      </c>
      <c r="V107" s="11" t="b">
        <v>0</v>
      </c>
      <c r="W107" cm="1">
        <f t="array" ref="W107">SUM(--C107:V107)</f>
        <v>5</v>
      </c>
    </row>
    <row r="108" spans="1:23" x14ac:dyDescent="0.3">
      <c r="A108" s="3" t="s">
        <v>106</v>
      </c>
      <c r="B108" s="18" t="s">
        <v>173</v>
      </c>
      <c r="C108" s="28" t="b">
        <v>1</v>
      </c>
      <c r="D108" s="11" t="b">
        <v>0</v>
      </c>
      <c r="E108" s="11" t="b">
        <v>0</v>
      </c>
      <c r="F108" s="11" t="b">
        <v>0</v>
      </c>
      <c r="G108" s="11" t="b">
        <v>0</v>
      </c>
      <c r="H108" s="28" t="b">
        <v>1</v>
      </c>
      <c r="I108" s="28" t="b">
        <v>1</v>
      </c>
      <c r="J108" s="28" t="b">
        <v>1</v>
      </c>
      <c r="K108" s="28" t="b">
        <v>1</v>
      </c>
      <c r="L108" s="28" t="b">
        <v>1</v>
      </c>
      <c r="M108" s="28" t="b">
        <v>1</v>
      </c>
      <c r="N108" s="28" t="b">
        <v>1</v>
      </c>
      <c r="O108" s="28" t="b">
        <v>1</v>
      </c>
      <c r="P108" s="11" t="b">
        <v>0</v>
      </c>
      <c r="Q108" s="28" t="b">
        <v>1</v>
      </c>
      <c r="R108" s="28" t="b">
        <v>1</v>
      </c>
      <c r="S108" s="11" t="b">
        <v>0</v>
      </c>
      <c r="T108" s="28" t="b">
        <v>1</v>
      </c>
      <c r="U108" s="11" t="b">
        <v>0</v>
      </c>
      <c r="V108" s="17" t="b">
        <v>1</v>
      </c>
      <c r="W108" cm="1">
        <f t="array" ref="W108">SUM(--C108:V108)</f>
        <v>13</v>
      </c>
    </row>
    <row r="109" spans="1:23" ht="28.8" x14ac:dyDescent="0.3">
      <c r="A109" s="3" t="s">
        <v>107</v>
      </c>
      <c r="B109" s="18" t="s">
        <v>175</v>
      </c>
      <c r="C109" s="28" t="b">
        <v>1</v>
      </c>
      <c r="D109" s="11" t="b">
        <v>0</v>
      </c>
      <c r="E109" s="11" t="b">
        <v>0</v>
      </c>
      <c r="F109" s="11" t="b">
        <v>0</v>
      </c>
      <c r="G109" s="11" t="b">
        <v>0</v>
      </c>
      <c r="H109" s="11" t="b">
        <v>0</v>
      </c>
      <c r="I109" s="28" t="b">
        <v>1</v>
      </c>
      <c r="J109" s="11" t="b">
        <v>0</v>
      </c>
      <c r="K109" s="11" t="b">
        <v>0</v>
      </c>
      <c r="L109" s="11" t="b">
        <v>0</v>
      </c>
      <c r="M109" s="11" t="b">
        <v>0</v>
      </c>
      <c r="N109" s="11" t="b">
        <v>0</v>
      </c>
      <c r="O109" s="11" t="b">
        <v>0</v>
      </c>
      <c r="P109" s="11" t="b">
        <v>0</v>
      </c>
      <c r="Q109" s="11" t="b">
        <v>0</v>
      </c>
      <c r="R109" s="11" t="b">
        <v>0</v>
      </c>
      <c r="S109" s="11" t="b">
        <v>0</v>
      </c>
      <c r="T109" s="11" t="b">
        <v>0</v>
      </c>
      <c r="U109" s="11" t="b">
        <v>0</v>
      </c>
      <c r="V109" s="11" t="b">
        <v>0</v>
      </c>
      <c r="W109" cm="1">
        <f t="array" ref="W109">SUM(--C109:V109)</f>
        <v>2</v>
      </c>
    </row>
    <row r="110" spans="1:23" x14ac:dyDescent="0.3">
      <c r="A110" s="3" t="s">
        <v>108</v>
      </c>
      <c r="B110" s="3" t="s">
        <v>143</v>
      </c>
      <c r="C110" s="3" t="b">
        <v>1</v>
      </c>
      <c r="D110" s="3" t="b">
        <v>0</v>
      </c>
      <c r="E110" s="3" t="b">
        <v>0</v>
      </c>
      <c r="F110" s="3" t="b">
        <v>0</v>
      </c>
      <c r="G110" s="3" t="b">
        <v>0</v>
      </c>
      <c r="H110" s="3" t="b">
        <v>0</v>
      </c>
      <c r="I110" s="3" t="b">
        <v>1</v>
      </c>
      <c r="J110" s="3" t="b">
        <v>0</v>
      </c>
      <c r="K110" s="3" t="b">
        <v>1</v>
      </c>
      <c r="L110" s="3" t="b">
        <v>1</v>
      </c>
      <c r="M110" s="3" t="b">
        <v>0</v>
      </c>
      <c r="N110" s="3" t="b">
        <v>0</v>
      </c>
      <c r="O110" s="3" t="b">
        <v>0</v>
      </c>
      <c r="P110" s="3" t="b">
        <v>0</v>
      </c>
      <c r="Q110" s="3" t="b">
        <v>0</v>
      </c>
      <c r="R110" s="3" t="b">
        <v>0</v>
      </c>
      <c r="S110" s="3" t="b">
        <v>0</v>
      </c>
      <c r="T110" s="3" t="b">
        <v>0</v>
      </c>
      <c r="U110" s="3" t="b">
        <v>0</v>
      </c>
      <c r="V110" s="3" t="b">
        <v>1</v>
      </c>
      <c r="W110" cm="1">
        <f t="array" ref="W110">SUM(--C110:V110)</f>
        <v>5</v>
      </c>
    </row>
    <row r="111" spans="1:23" x14ac:dyDescent="0.3">
      <c r="A111" s="3" t="s">
        <v>109</v>
      </c>
      <c r="B111" s="3" t="s">
        <v>136</v>
      </c>
      <c r="C111" s="3" t="b">
        <v>0</v>
      </c>
      <c r="D111" s="3" t="b">
        <v>0</v>
      </c>
      <c r="E111" s="3" t="b">
        <v>0</v>
      </c>
      <c r="F111" s="3" t="b">
        <v>0</v>
      </c>
      <c r="G111" s="3" t="b">
        <v>0</v>
      </c>
      <c r="H111" s="3" t="b">
        <v>0</v>
      </c>
      <c r="I111" s="3" t="b">
        <v>1</v>
      </c>
      <c r="J111" s="3" t="b">
        <v>0</v>
      </c>
      <c r="K111" s="3" t="b">
        <v>1</v>
      </c>
      <c r="L111" s="3" t="b">
        <v>0</v>
      </c>
      <c r="M111" s="3" t="b">
        <v>0</v>
      </c>
      <c r="N111" s="3" t="b">
        <v>0</v>
      </c>
      <c r="O111" s="3" t="b">
        <v>0</v>
      </c>
      <c r="P111" s="3" t="b">
        <v>0</v>
      </c>
      <c r="Q111" s="3" t="b">
        <v>0</v>
      </c>
      <c r="R111" s="3" t="b">
        <v>0</v>
      </c>
      <c r="S111" s="3" t="b">
        <v>0</v>
      </c>
      <c r="T111" s="3" t="b">
        <v>0</v>
      </c>
      <c r="U111" s="3" t="b">
        <v>0</v>
      </c>
      <c r="V111" s="3" t="b">
        <v>0</v>
      </c>
      <c r="W111" cm="1">
        <f t="array" ref="W111">SUM(--C111:V111)</f>
        <v>2</v>
      </c>
    </row>
    <row r="112" spans="1:23" x14ac:dyDescent="0.3">
      <c r="A112" s="3" t="s">
        <v>110</v>
      </c>
      <c r="B112" s="3" t="s">
        <v>154</v>
      </c>
      <c r="C112" s="3" t="b">
        <v>0</v>
      </c>
      <c r="D112" s="3" t="b">
        <v>0</v>
      </c>
      <c r="E112" s="3" t="b">
        <v>0</v>
      </c>
      <c r="F112" s="3" t="b">
        <v>0</v>
      </c>
      <c r="G112" s="3" t="b">
        <v>0</v>
      </c>
      <c r="H112" s="3" t="b">
        <v>0</v>
      </c>
      <c r="I112" s="3" t="b">
        <v>1</v>
      </c>
      <c r="J112" s="3" t="b">
        <v>0</v>
      </c>
      <c r="K112" s="3" t="b">
        <v>0</v>
      </c>
      <c r="L112" s="3" t="b">
        <v>0</v>
      </c>
      <c r="M112" s="3" t="b">
        <v>0</v>
      </c>
      <c r="N112" s="3" t="b">
        <v>1</v>
      </c>
      <c r="O112" s="3" t="b">
        <v>0</v>
      </c>
      <c r="P112" s="3" t="b">
        <v>0</v>
      </c>
      <c r="Q112" s="3" t="b">
        <v>0</v>
      </c>
      <c r="R112" s="3" t="b">
        <v>0</v>
      </c>
      <c r="S112" s="3" t="b">
        <v>0</v>
      </c>
      <c r="T112" s="3" t="b">
        <v>0</v>
      </c>
      <c r="U112" s="3" t="b">
        <v>0</v>
      </c>
      <c r="V112" s="3" t="b">
        <v>0</v>
      </c>
      <c r="W112" cm="1">
        <f t="array" ref="W112">SUM(--C112:V112)</f>
        <v>2</v>
      </c>
    </row>
    <row r="113" spans="1:23" x14ac:dyDescent="0.3">
      <c r="A113" s="4" t="s">
        <v>111</v>
      </c>
      <c r="B113" s="3" t="s">
        <v>144</v>
      </c>
      <c r="C113" s="3" t="b">
        <v>1</v>
      </c>
      <c r="D113" s="3" t="b">
        <v>0</v>
      </c>
      <c r="E113" s="3" t="b">
        <v>1</v>
      </c>
      <c r="F113" s="3" t="b">
        <v>0</v>
      </c>
      <c r="G113" s="3" t="b">
        <v>0</v>
      </c>
      <c r="H113" s="3" t="b">
        <v>1</v>
      </c>
      <c r="I113" s="3" t="b">
        <v>1</v>
      </c>
      <c r="J113" s="3" t="b">
        <v>1</v>
      </c>
      <c r="K113" s="3" t="b">
        <v>1</v>
      </c>
      <c r="L113" s="3" t="b">
        <v>0</v>
      </c>
      <c r="M113" s="3" t="b">
        <v>0</v>
      </c>
      <c r="N113" s="3" t="b">
        <v>0</v>
      </c>
      <c r="O113" s="3" t="b">
        <v>0</v>
      </c>
      <c r="P113" s="3" t="b">
        <v>0</v>
      </c>
      <c r="Q113" s="3" t="b">
        <v>0</v>
      </c>
      <c r="R113" s="3" t="b">
        <v>0</v>
      </c>
      <c r="S113" s="3" t="b">
        <v>1</v>
      </c>
      <c r="T113" s="3" t="b">
        <v>0</v>
      </c>
      <c r="U113" s="3" t="b">
        <v>0</v>
      </c>
      <c r="V113" s="3" t="b">
        <v>1</v>
      </c>
      <c r="W113" cm="1">
        <f t="array" ref="W113">SUM(--C113:V113)</f>
        <v>8</v>
      </c>
    </row>
    <row r="114" spans="1:23" x14ac:dyDescent="0.3">
      <c r="A114" s="3" t="s">
        <v>112</v>
      </c>
      <c r="B114" s="3" t="s">
        <v>144</v>
      </c>
      <c r="C114" s="3" t="b">
        <v>0</v>
      </c>
      <c r="D114" s="3" t="b">
        <v>0</v>
      </c>
      <c r="E114" s="3" t="b">
        <v>0</v>
      </c>
      <c r="F114" s="3" t="b">
        <v>0</v>
      </c>
      <c r="G114" s="3" t="b">
        <v>0</v>
      </c>
      <c r="H114" s="3" t="b">
        <v>1</v>
      </c>
      <c r="I114" s="3" t="b">
        <v>0</v>
      </c>
      <c r="J114" s="3" t="b">
        <v>0</v>
      </c>
      <c r="K114" s="3" t="b">
        <v>0</v>
      </c>
      <c r="L114" s="3" t="b">
        <v>0</v>
      </c>
      <c r="M114" s="3" t="b">
        <v>1</v>
      </c>
      <c r="N114" s="3" t="b">
        <v>1</v>
      </c>
      <c r="O114" s="3" t="b">
        <v>0</v>
      </c>
      <c r="P114" s="3" t="b">
        <v>0</v>
      </c>
      <c r="Q114" s="3" t="b">
        <v>1</v>
      </c>
      <c r="R114" s="3" t="b">
        <v>0</v>
      </c>
      <c r="S114" s="3" t="b">
        <v>0</v>
      </c>
      <c r="T114" s="3" t="b">
        <v>1</v>
      </c>
      <c r="U114" s="3" t="b">
        <v>0</v>
      </c>
      <c r="V114" s="3" t="b">
        <v>0</v>
      </c>
      <c r="W114" cm="1">
        <f t="array" ref="W114">SUM(--C114:V114)</f>
        <v>5</v>
      </c>
    </row>
    <row r="115" spans="1:23" x14ac:dyDescent="0.3">
      <c r="A115" s="3" t="s">
        <v>113</v>
      </c>
      <c r="B115" s="3" t="s">
        <v>137</v>
      </c>
      <c r="C115" s="3" t="b">
        <v>1</v>
      </c>
      <c r="D115" s="3" t="b">
        <v>0</v>
      </c>
      <c r="E115" s="3" t="b">
        <v>1</v>
      </c>
      <c r="F115" s="3" t="b">
        <v>0</v>
      </c>
      <c r="G115" s="3" t="b">
        <v>0</v>
      </c>
      <c r="H115" s="3" t="b">
        <v>1</v>
      </c>
      <c r="I115" s="3" t="b">
        <v>1</v>
      </c>
      <c r="J115" s="3" t="b">
        <v>1</v>
      </c>
      <c r="K115" s="3" t="b">
        <v>1</v>
      </c>
      <c r="L115" s="3" t="b">
        <v>0</v>
      </c>
      <c r="M115" s="3" t="b">
        <v>0</v>
      </c>
      <c r="N115" s="3" t="b">
        <v>1</v>
      </c>
      <c r="O115" s="3" t="b">
        <v>0</v>
      </c>
      <c r="P115" s="3" t="b">
        <v>0</v>
      </c>
      <c r="Q115" s="3" t="b">
        <v>1</v>
      </c>
      <c r="R115" s="3" t="b">
        <v>1</v>
      </c>
      <c r="S115" s="3" t="b">
        <v>0</v>
      </c>
      <c r="T115" s="3" t="b">
        <v>0</v>
      </c>
      <c r="U115" s="3" t="b">
        <v>0</v>
      </c>
      <c r="V115" s="3" t="b">
        <v>0</v>
      </c>
      <c r="W115" cm="1">
        <f t="array" ref="W115">SUM(--C115:V115)</f>
        <v>9</v>
      </c>
    </row>
    <row r="116" spans="1:23" x14ac:dyDescent="0.3">
      <c r="A116" s="3" t="s">
        <v>114</v>
      </c>
      <c r="B116" s="3" t="s">
        <v>176</v>
      </c>
      <c r="C116" s="3" t="b">
        <v>0</v>
      </c>
      <c r="D116" s="3" t="b">
        <v>0</v>
      </c>
      <c r="E116" s="3" t="b">
        <v>0</v>
      </c>
      <c r="F116" s="3" t="b">
        <v>0</v>
      </c>
      <c r="G116" s="3" t="b">
        <v>0</v>
      </c>
      <c r="H116" s="3" t="b">
        <v>0</v>
      </c>
      <c r="I116" s="3" t="b">
        <v>0</v>
      </c>
      <c r="J116" s="3" t="b">
        <v>0</v>
      </c>
      <c r="K116" s="3" t="b">
        <v>0</v>
      </c>
      <c r="L116" s="3" t="b">
        <v>0</v>
      </c>
      <c r="M116" s="3" t="b">
        <v>0</v>
      </c>
      <c r="N116" s="3" t="b">
        <v>0</v>
      </c>
      <c r="O116" s="3" t="b">
        <v>0</v>
      </c>
      <c r="P116" s="3" t="b">
        <v>0</v>
      </c>
      <c r="Q116" s="3" t="b">
        <v>0</v>
      </c>
      <c r="R116" s="3" t="b">
        <v>0</v>
      </c>
      <c r="S116" s="3" t="b">
        <v>1</v>
      </c>
      <c r="T116" s="3" t="b">
        <v>0</v>
      </c>
      <c r="U116" s="3" t="b">
        <v>0</v>
      </c>
      <c r="V116" s="3" t="b">
        <v>0</v>
      </c>
      <c r="W116" cm="1">
        <f t="array" ref="W116">SUM(--C116:V116)</f>
        <v>1</v>
      </c>
    </row>
    <row r="117" spans="1:23" x14ac:dyDescent="0.3">
      <c r="A117" s="3" t="s">
        <v>115</v>
      </c>
      <c r="B117" s="3" t="s">
        <v>204</v>
      </c>
      <c r="C117" s="3" t="b">
        <v>1</v>
      </c>
      <c r="D117" s="3" t="b">
        <v>0</v>
      </c>
      <c r="E117" s="3" t="b">
        <v>1</v>
      </c>
      <c r="F117" s="3" t="b">
        <v>0</v>
      </c>
      <c r="G117" s="3" t="b">
        <v>0</v>
      </c>
      <c r="H117" s="3" t="b">
        <v>0</v>
      </c>
      <c r="I117" s="3" t="b">
        <v>1</v>
      </c>
      <c r="J117" s="3" t="b">
        <v>0</v>
      </c>
      <c r="K117" s="3" t="b">
        <v>1</v>
      </c>
      <c r="L117" s="3" t="b">
        <v>0</v>
      </c>
      <c r="M117" s="3" t="b">
        <v>0</v>
      </c>
      <c r="N117" s="3" t="b">
        <v>1</v>
      </c>
      <c r="O117" s="3" t="b">
        <v>0</v>
      </c>
      <c r="P117" s="3" t="b">
        <v>0</v>
      </c>
      <c r="Q117" s="3" t="b">
        <v>0</v>
      </c>
      <c r="R117" s="3" t="b">
        <v>1</v>
      </c>
      <c r="S117" s="3" t="b">
        <v>0</v>
      </c>
      <c r="T117" s="3" t="b">
        <v>1</v>
      </c>
      <c r="U117" s="3" t="b">
        <v>0</v>
      </c>
      <c r="V117" s="3" t="b">
        <v>0</v>
      </c>
      <c r="W117" cm="1">
        <f t="array" ref="W117">SUM(--C117:V117)</f>
        <v>7</v>
      </c>
    </row>
    <row r="118" spans="1:23" x14ac:dyDescent="0.3">
      <c r="A118" s="3" t="s">
        <v>116</v>
      </c>
      <c r="B118" s="3" t="s">
        <v>165</v>
      </c>
      <c r="C118" s="3" t="b">
        <v>1</v>
      </c>
      <c r="D118" s="3" t="b">
        <v>0</v>
      </c>
      <c r="E118" s="3" t="b">
        <v>1</v>
      </c>
      <c r="F118" s="3" t="b">
        <v>0</v>
      </c>
      <c r="G118" s="3" t="b">
        <v>1</v>
      </c>
      <c r="H118" s="3" t="b">
        <v>0</v>
      </c>
      <c r="I118" s="3" t="b">
        <v>1</v>
      </c>
      <c r="J118" s="3" t="b">
        <v>0</v>
      </c>
      <c r="K118" s="3" t="b">
        <v>1</v>
      </c>
      <c r="L118" s="3" t="b">
        <v>0</v>
      </c>
      <c r="M118" s="3" t="b">
        <v>0</v>
      </c>
      <c r="N118" s="3" t="b">
        <v>0</v>
      </c>
      <c r="O118" s="3" t="b">
        <v>0</v>
      </c>
      <c r="P118" s="3" t="b">
        <v>0</v>
      </c>
      <c r="Q118" s="3" t="b">
        <v>0</v>
      </c>
      <c r="R118" s="3" t="b">
        <v>0</v>
      </c>
      <c r="S118" s="3" t="b">
        <v>0</v>
      </c>
      <c r="T118" s="3" t="b">
        <v>0</v>
      </c>
      <c r="U118" s="3" t="b">
        <v>0</v>
      </c>
      <c r="V118" s="3" t="b">
        <v>1</v>
      </c>
      <c r="W118" cm="1">
        <f t="array" ref="W118">SUM(--C118:V118)</f>
        <v>6</v>
      </c>
    </row>
    <row r="119" spans="1:23" x14ac:dyDescent="0.3">
      <c r="A119" s="5" t="s">
        <v>183</v>
      </c>
      <c r="B119" s="3" t="s">
        <v>165</v>
      </c>
      <c r="C119" s="5" t="b">
        <v>1</v>
      </c>
      <c r="D119" s="5" t="b">
        <v>0</v>
      </c>
      <c r="E119" s="5" t="b">
        <v>1</v>
      </c>
      <c r="F119" s="5" t="b">
        <v>0</v>
      </c>
      <c r="G119" s="5" t="b">
        <v>0</v>
      </c>
      <c r="H119" s="5" t="b">
        <v>1</v>
      </c>
      <c r="I119" s="5" t="b">
        <v>1</v>
      </c>
      <c r="J119" s="5" t="b">
        <v>0</v>
      </c>
      <c r="K119" s="5" t="b">
        <v>1</v>
      </c>
      <c r="L119" s="5" t="b">
        <v>0</v>
      </c>
      <c r="M119" s="5" t="b">
        <v>0</v>
      </c>
      <c r="N119" s="5" t="b">
        <v>0</v>
      </c>
      <c r="O119" s="5" t="b">
        <v>0</v>
      </c>
      <c r="P119" s="5" t="b">
        <v>0</v>
      </c>
      <c r="Q119" s="5" t="b">
        <v>0</v>
      </c>
      <c r="R119" s="5" t="b">
        <v>0</v>
      </c>
      <c r="S119" s="5" t="b">
        <v>1</v>
      </c>
      <c r="T119" s="5" t="b">
        <v>0</v>
      </c>
      <c r="U119" s="5" t="b">
        <v>0</v>
      </c>
      <c r="V119" s="3" t="b">
        <v>1</v>
      </c>
      <c r="W119">
        <f>MEDIAN((W2:W118))</f>
        <v>3</v>
      </c>
    </row>
    <row r="120" spans="1:23" x14ac:dyDescent="0.3">
      <c r="A120" s="5" t="s">
        <v>184</v>
      </c>
      <c r="B120" s="3" t="s">
        <v>201</v>
      </c>
      <c r="C120" s="5" t="b">
        <v>0</v>
      </c>
      <c r="D120" s="5" t="b">
        <v>0</v>
      </c>
      <c r="E120" s="5" t="b">
        <v>0</v>
      </c>
      <c r="F120" s="5" t="b">
        <v>0</v>
      </c>
      <c r="G120" s="5" t="b">
        <v>0</v>
      </c>
      <c r="H120" s="5" t="b">
        <v>1</v>
      </c>
      <c r="I120" s="5" t="b">
        <v>1</v>
      </c>
      <c r="J120" s="5" t="b">
        <v>1</v>
      </c>
      <c r="K120" s="5" t="b">
        <v>1</v>
      </c>
      <c r="L120" s="5" t="b">
        <v>0</v>
      </c>
      <c r="M120" s="5" t="b">
        <v>0</v>
      </c>
      <c r="N120" s="5" t="b">
        <v>0</v>
      </c>
      <c r="O120" s="5" t="b">
        <v>0</v>
      </c>
      <c r="P120" s="5" t="b">
        <v>0</v>
      </c>
      <c r="Q120" s="5" t="b">
        <v>0</v>
      </c>
      <c r="R120" s="5" t="b">
        <v>0</v>
      </c>
      <c r="S120" s="5" t="b">
        <v>0</v>
      </c>
      <c r="T120" s="5" t="b">
        <v>0</v>
      </c>
      <c r="U120" s="5" t="b">
        <v>0</v>
      </c>
      <c r="W120">
        <f>_xlfn.QUARTILE.INC(W2:W118,1)</f>
        <v>2</v>
      </c>
    </row>
    <row r="121" spans="1:23" x14ac:dyDescent="0.3">
      <c r="A121" t="s">
        <v>185</v>
      </c>
      <c r="B121" s="3" t="s">
        <v>205</v>
      </c>
      <c r="C121" s="5" t="b">
        <v>1</v>
      </c>
      <c r="D121" s="5" t="b">
        <v>0</v>
      </c>
      <c r="E121" s="5" t="b">
        <v>1</v>
      </c>
      <c r="F121" s="5" t="b">
        <v>0</v>
      </c>
      <c r="G121" s="5" t="b">
        <v>1</v>
      </c>
      <c r="H121" s="5" t="b">
        <v>1</v>
      </c>
      <c r="I121" s="5" t="b">
        <v>1</v>
      </c>
      <c r="J121" s="5" t="b">
        <v>0</v>
      </c>
      <c r="K121" s="5" t="b">
        <v>1</v>
      </c>
      <c r="L121" s="5" t="b">
        <v>1</v>
      </c>
      <c r="M121" s="5" t="b">
        <v>1</v>
      </c>
      <c r="N121" s="5" t="b">
        <v>0</v>
      </c>
      <c r="O121" s="5" t="b">
        <v>0</v>
      </c>
      <c r="P121" s="5" t="b">
        <v>0</v>
      </c>
      <c r="Q121" s="5" t="b">
        <v>0</v>
      </c>
      <c r="R121" s="5" t="b">
        <v>0</v>
      </c>
      <c r="S121" s="5" t="b">
        <v>1</v>
      </c>
      <c r="T121" s="5" t="b">
        <v>0</v>
      </c>
      <c r="U121" s="5" t="b">
        <v>0</v>
      </c>
      <c r="V121" s="3" t="b">
        <v>1</v>
      </c>
      <c r="W121">
        <f>_xlfn.QUARTILE.INC(W2:W118,3)</f>
        <v>6</v>
      </c>
    </row>
    <row r="122" spans="1:23" x14ac:dyDescent="0.3">
      <c r="A122" s="5" t="s">
        <v>186</v>
      </c>
      <c r="B122" s="3" t="s">
        <v>143</v>
      </c>
      <c r="C122" s="5" t="b">
        <v>1</v>
      </c>
      <c r="D122" s="5" t="b">
        <v>0</v>
      </c>
      <c r="E122" s="5" t="b">
        <v>0</v>
      </c>
      <c r="F122" s="5" t="b">
        <v>0</v>
      </c>
      <c r="G122" s="5" t="b">
        <v>0</v>
      </c>
      <c r="H122" s="5" t="b">
        <v>0</v>
      </c>
      <c r="I122" s="5" t="b">
        <v>1</v>
      </c>
      <c r="J122" s="5" t="b">
        <v>1</v>
      </c>
      <c r="K122" s="5" t="b">
        <v>1</v>
      </c>
      <c r="L122" s="5" t="b">
        <v>1</v>
      </c>
      <c r="M122" s="5" t="b">
        <v>1</v>
      </c>
      <c r="N122" s="5" t="b">
        <v>0</v>
      </c>
      <c r="O122" s="5" t="b">
        <v>0</v>
      </c>
      <c r="P122" s="5" t="b">
        <v>0</v>
      </c>
      <c r="Q122" s="5" t="b">
        <v>0</v>
      </c>
      <c r="R122" s="5" t="b">
        <v>0</v>
      </c>
      <c r="S122" s="5" t="b">
        <v>0</v>
      </c>
      <c r="T122" s="5" t="b">
        <v>0</v>
      </c>
      <c r="U122" s="5" t="b">
        <v>0</v>
      </c>
      <c r="V122" s="5" t="b">
        <v>0</v>
      </c>
      <c r="W122">
        <f t="shared" ref="W122" si="0">MEDIAN((W5:W121))</f>
        <v>3</v>
      </c>
    </row>
    <row r="123" spans="1:23" x14ac:dyDescent="0.3">
      <c r="A123" s="5" t="s">
        <v>187</v>
      </c>
      <c r="B123" s="3" t="s">
        <v>143</v>
      </c>
      <c r="C123" s="5" t="b">
        <v>1</v>
      </c>
      <c r="D123" s="5" t="b">
        <v>0</v>
      </c>
      <c r="E123" s="5" t="b">
        <v>0</v>
      </c>
      <c r="F123" s="5" t="b">
        <v>0</v>
      </c>
      <c r="G123" s="5" t="b">
        <v>0</v>
      </c>
      <c r="H123" s="5" t="b">
        <v>0</v>
      </c>
      <c r="I123" s="5" t="b">
        <v>1</v>
      </c>
      <c r="J123" s="5" t="b">
        <v>0</v>
      </c>
      <c r="K123" s="5" t="b">
        <v>1</v>
      </c>
      <c r="L123" s="5" t="b">
        <v>0</v>
      </c>
      <c r="M123" s="5" t="b">
        <v>0</v>
      </c>
      <c r="N123" s="5" t="b">
        <v>1</v>
      </c>
      <c r="O123" s="5" t="b">
        <v>0</v>
      </c>
      <c r="P123" s="5" t="b">
        <v>0</v>
      </c>
      <c r="Q123" s="5" t="b">
        <v>0</v>
      </c>
      <c r="R123" s="5" t="b">
        <v>0</v>
      </c>
      <c r="S123" s="5" t="b">
        <v>0</v>
      </c>
      <c r="T123" s="5" t="b">
        <v>0</v>
      </c>
      <c r="U123" s="5" t="b">
        <v>0</v>
      </c>
      <c r="V123" s="5" t="b">
        <v>0</v>
      </c>
      <c r="W123">
        <f t="shared" ref="W123" si="1">_xlfn.QUARTILE.INC(W5:W121,1)</f>
        <v>2</v>
      </c>
    </row>
    <row r="124" spans="1:23" x14ac:dyDescent="0.3">
      <c r="A124" s="5" t="s">
        <v>188</v>
      </c>
      <c r="B124" s="18" t="s">
        <v>136</v>
      </c>
      <c r="C124" s="5" t="b">
        <v>0</v>
      </c>
      <c r="D124" s="5" t="b">
        <v>0</v>
      </c>
      <c r="E124" s="5" t="b">
        <v>0</v>
      </c>
      <c r="F124" s="5" t="b">
        <v>0</v>
      </c>
      <c r="G124" s="5" t="b">
        <v>0</v>
      </c>
      <c r="H124" s="5" t="b">
        <v>0</v>
      </c>
      <c r="I124" s="5" t="b">
        <v>1</v>
      </c>
      <c r="J124" s="5" t="b">
        <v>0</v>
      </c>
      <c r="K124" s="5" t="b">
        <v>1</v>
      </c>
      <c r="L124" s="5" t="b">
        <v>0</v>
      </c>
      <c r="M124" s="5" t="b">
        <v>0</v>
      </c>
      <c r="N124" s="5" t="b">
        <v>0</v>
      </c>
      <c r="O124" s="5" t="b">
        <v>0</v>
      </c>
      <c r="P124" s="5" t="b">
        <v>0</v>
      </c>
      <c r="Q124" s="5" t="b">
        <v>0</v>
      </c>
      <c r="R124" s="5" t="b">
        <v>0</v>
      </c>
      <c r="S124" s="5" t="b">
        <v>0</v>
      </c>
      <c r="T124" s="5" t="b">
        <v>0</v>
      </c>
      <c r="U124" s="5" t="b">
        <v>0</v>
      </c>
      <c r="V124" s="5" t="b">
        <v>0</v>
      </c>
      <c r="W124">
        <f t="shared" ref="W124" si="2">_xlfn.QUARTILE.INC(W5:W121,3)</f>
        <v>5</v>
      </c>
    </row>
    <row r="125" spans="1:23" x14ac:dyDescent="0.3">
      <c r="A125" s="5" t="s">
        <v>189</v>
      </c>
      <c r="B125" s="3" t="s">
        <v>143</v>
      </c>
      <c r="C125" s="5" t="b">
        <v>1</v>
      </c>
      <c r="D125" s="5" t="b">
        <v>0</v>
      </c>
      <c r="E125" s="5" t="b">
        <v>0</v>
      </c>
      <c r="F125" s="5" t="b">
        <v>0</v>
      </c>
      <c r="G125" s="5" t="b">
        <v>0</v>
      </c>
      <c r="H125" s="5" t="b">
        <v>0</v>
      </c>
      <c r="I125" s="5" t="b">
        <v>1</v>
      </c>
      <c r="J125" s="5" t="b">
        <v>1</v>
      </c>
      <c r="K125" s="5" t="b">
        <v>1</v>
      </c>
      <c r="L125" s="5" t="b">
        <v>0</v>
      </c>
      <c r="M125" s="5" t="b">
        <v>1</v>
      </c>
      <c r="N125" s="5" t="b">
        <v>0</v>
      </c>
      <c r="O125" s="5" t="b">
        <v>0</v>
      </c>
      <c r="P125" s="5" t="b">
        <v>0</v>
      </c>
      <c r="Q125" s="5" t="b">
        <v>0</v>
      </c>
      <c r="R125" s="5" t="b">
        <v>1</v>
      </c>
      <c r="S125" s="5" t="b">
        <v>0</v>
      </c>
      <c r="T125" s="5" t="b">
        <v>0</v>
      </c>
      <c r="U125" s="5" t="b">
        <v>0</v>
      </c>
      <c r="V125" s="5" t="b">
        <v>0</v>
      </c>
      <c r="W125">
        <f t="shared" ref="W125" si="3">MEDIAN((W8:W124))</f>
        <v>3</v>
      </c>
    </row>
    <row r="126" spans="1:23" x14ac:dyDescent="0.3">
      <c r="A126" s="5" t="s">
        <v>190</v>
      </c>
      <c r="B126" s="3" t="s">
        <v>154</v>
      </c>
      <c r="C126" s="5" t="b">
        <v>0</v>
      </c>
      <c r="D126" s="5" t="b">
        <v>0</v>
      </c>
      <c r="E126" s="5" t="b">
        <v>0</v>
      </c>
      <c r="F126" s="5" t="b">
        <v>0</v>
      </c>
      <c r="G126" s="5" t="b">
        <v>1</v>
      </c>
      <c r="H126" s="5" t="b">
        <v>1</v>
      </c>
      <c r="I126" s="5" t="b">
        <v>0</v>
      </c>
      <c r="J126" s="5" t="b">
        <v>1</v>
      </c>
      <c r="K126" s="5" t="b">
        <v>1</v>
      </c>
      <c r="L126" s="5" t="b">
        <v>0</v>
      </c>
      <c r="M126" s="5" t="b">
        <v>0</v>
      </c>
      <c r="N126" s="5" t="b">
        <v>0</v>
      </c>
      <c r="O126" s="5" t="b">
        <v>0</v>
      </c>
      <c r="P126" s="5" t="b">
        <v>0</v>
      </c>
      <c r="Q126" s="5" t="b">
        <v>0</v>
      </c>
      <c r="R126" s="5" t="b">
        <v>0</v>
      </c>
      <c r="S126" s="5" t="b">
        <v>1</v>
      </c>
      <c r="T126" s="5" t="b">
        <v>0</v>
      </c>
      <c r="U126" s="5" t="b">
        <v>0</v>
      </c>
      <c r="V126" s="5" t="b">
        <v>0</v>
      </c>
      <c r="W126">
        <f t="shared" ref="W126" si="4">_xlfn.QUARTILE.INC(W8:W124,1)</f>
        <v>2</v>
      </c>
    </row>
    <row r="127" spans="1:23" x14ac:dyDescent="0.3">
      <c r="A127" s="5" t="s">
        <v>191</v>
      </c>
      <c r="B127" s="3" t="s">
        <v>206</v>
      </c>
      <c r="C127" s="5" t="b">
        <v>1</v>
      </c>
      <c r="D127" s="5" t="b">
        <v>0</v>
      </c>
      <c r="E127" s="5" t="b">
        <v>1</v>
      </c>
      <c r="F127" s="5" t="b">
        <v>0</v>
      </c>
      <c r="G127" s="5" t="b">
        <v>0</v>
      </c>
      <c r="H127" s="5" t="b">
        <v>1</v>
      </c>
      <c r="I127" s="5" t="b">
        <v>1</v>
      </c>
      <c r="J127" s="5" t="b">
        <v>1</v>
      </c>
      <c r="K127" s="5" t="b">
        <v>1</v>
      </c>
      <c r="L127" s="5" t="b">
        <v>1</v>
      </c>
      <c r="M127" s="5" t="b">
        <v>1</v>
      </c>
      <c r="N127" s="5" t="b">
        <v>0</v>
      </c>
      <c r="O127" s="5" t="b">
        <v>0</v>
      </c>
      <c r="P127" s="5" t="b">
        <v>0</v>
      </c>
      <c r="Q127" s="5" t="b">
        <v>0</v>
      </c>
      <c r="R127" s="5" t="b">
        <v>0</v>
      </c>
      <c r="S127" s="5" t="b">
        <v>1</v>
      </c>
      <c r="T127" s="5" t="b">
        <v>0</v>
      </c>
      <c r="U127" s="5" t="b">
        <v>0</v>
      </c>
      <c r="V127" s="3" t="b">
        <v>1</v>
      </c>
      <c r="W127">
        <f t="shared" ref="W127" si="5">_xlfn.QUARTILE.INC(W8:W124,3)</f>
        <v>5</v>
      </c>
    </row>
    <row r="128" spans="1:23" x14ac:dyDescent="0.3">
      <c r="A128" s="5" t="s">
        <v>192</v>
      </c>
      <c r="B128" s="3" t="s">
        <v>157</v>
      </c>
      <c r="C128" s="5" t="b">
        <v>0</v>
      </c>
      <c r="D128" s="5" t="b">
        <v>0</v>
      </c>
      <c r="E128" s="5" t="b">
        <v>0</v>
      </c>
      <c r="F128" s="5" t="b">
        <v>0</v>
      </c>
      <c r="G128" s="5" t="b">
        <v>0</v>
      </c>
      <c r="H128" s="5" t="b">
        <v>1</v>
      </c>
      <c r="I128" s="5" t="b">
        <v>1</v>
      </c>
      <c r="J128" s="5" t="b">
        <v>1</v>
      </c>
      <c r="K128" s="5" t="b">
        <v>1</v>
      </c>
      <c r="L128" s="5" t="b">
        <v>0</v>
      </c>
      <c r="M128" s="5" t="b">
        <v>0</v>
      </c>
      <c r="N128" s="5" t="b">
        <v>0</v>
      </c>
      <c r="O128" s="5" t="b">
        <v>0</v>
      </c>
      <c r="P128" s="5" t="b">
        <v>0</v>
      </c>
      <c r="Q128" s="5" t="b">
        <v>0</v>
      </c>
      <c r="R128" s="5" t="b">
        <v>0</v>
      </c>
      <c r="S128" s="5" t="b">
        <v>0</v>
      </c>
      <c r="T128" s="5" t="b">
        <v>0</v>
      </c>
      <c r="U128" s="5" t="b">
        <v>0</v>
      </c>
      <c r="V128" s="5" t="b">
        <v>0</v>
      </c>
      <c r="W128">
        <f t="shared" ref="W128" si="6">MEDIAN((W11:W127))</f>
        <v>3</v>
      </c>
    </row>
    <row r="129" spans="1:24" x14ac:dyDescent="0.3">
      <c r="A129" s="5" t="s">
        <v>193</v>
      </c>
      <c r="B129" s="3" t="s">
        <v>154</v>
      </c>
      <c r="C129" s="5" t="b">
        <v>1</v>
      </c>
      <c r="D129" s="5" t="b">
        <v>0</v>
      </c>
      <c r="E129" s="5" t="b">
        <v>0</v>
      </c>
      <c r="F129" s="5" t="b">
        <v>0</v>
      </c>
      <c r="G129" s="5" t="b">
        <v>0</v>
      </c>
      <c r="H129" s="5" t="b">
        <v>1</v>
      </c>
      <c r="I129" s="5" t="b">
        <v>1</v>
      </c>
      <c r="J129" s="5" t="b">
        <v>0</v>
      </c>
      <c r="K129" s="5" t="b">
        <v>0</v>
      </c>
      <c r="L129" s="5" t="b">
        <v>0</v>
      </c>
      <c r="M129" s="5" t="b">
        <v>0</v>
      </c>
      <c r="N129" s="5" t="b">
        <v>1</v>
      </c>
      <c r="O129" s="5" t="b">
        <v>0</v>
      </c>
      <c r="P129" s="5" t="b">
        <v>0</v>
      </c>
      <c r="Q129" s="5" t="b">
        <v>0</v>
      </c>
      <c r="R129" s="5" t="b">
        <v>1</v>
      </c>
      <c r="S129" s="5" t="b">
        <v>0</v>
      </c>
      <c r="T129" s="5" t="b">
        <v>1</v>
      </c>
      <c r="U129" s="5" t="b">
        <v>0</v>
      </c>
      <c r="V129" s="5" t="b">
        <v>0</v>
      </c>
      <c r="W129">
        <f t="shared" ref="W129" si="7">_xlfn.QUARTILE.INC(W11:W127,1)</f>
        <v>2</v>
      </c>
    </row>
    <row r="130" spans="1:24" x14ac:dyDescent="0.3">
      <c r="A130" s="5" t="s">
        <v>194</v>
      </c>
      <c r="B130" s="3" t="s">
        <v>146</v>
      </c>
      <c r="C130" s="5" t="b">
        <v>0</v>
      </c>
      <c r="D130" s="5" t="b">
        <v>0</v>
      </c>
      <c r="E130" s="5" t="b">
        <v>0</v>
      </c>
      <c r="F130" s="5" t="b">
        <v>0</v>
      </c>
      <c r="G130" s="5" t="b">
        <v>0</v>
      </c>
      <c r="H130" s="5" t="b">
        <v>0</v>
      </c>
      <c r="I130" s="5" t="b">
        <v>0</v>
      </c>
      <c r="J130" s="5" t="b">
        <v>0</v>
      </c>
      <c r="K130" s="5" t="b">
        <v>0</v>
      </c>
      <c r="L130" s="5" t="b">
        <v>0</v>
      </c>
      <c r="M130" s="5" t="b">
        <v>0</v>
      </c>
      <c r="N130" s="5" t="b">
        <v>1</v>
      </c>
      <c r="O130" s="5" t="b">
        <v>1</v>
      </c>
      <c r="P130" s="5" t="b">
        <v>0</v>
      </c>
      <c r="Q130" s="5" t="b">
        <v>0</v>
      </c>
      <c r="R130" s="5" t="b">
        <v>0</v>
      </c>
      <c r="S130" s="5" t="b">
        <v>0</v>
      </c>
      <c r="T130" s="5" t="b">
        <v>0</v>
      </c>
      <c r="U130" s="5" t="b">
        <v>0</v>
      </c>
      <c r="V130" s="5" t="b">
        <v>0</v>
      </c>
      <c r="W130">
        <f t="shared" ref="W130" si="8">_xlfn.QUARTILE.INC(W11:W127,3)</f>
        <v>5</v>
      </c>
    </row>
    <row r="131" spans="1:24" ht="28.8" x14ac:dyDescent="0.3">
      <c r="A131" s="5" t="s">
        <v>195</v>
      </c>
      <c r="B131" s="3" t="s">
        <v>208</v>
      </c>
      <c r="C131" s="5" t="b">
        <v>0</v>
      </c>
      <c r="D131" s="5" t="b">
        <v>0</v>
      </c>
      <c r="E131" s="5" t="b">
        <v>0</v>
      </c>
      <c r="F131" s="5" t="b">
        <v>0</v>
      </c>
      <c r="G131" s="5" t="b">
        <v>0</v>
      </c>
      <c r="H131" s="5" t="b">
        <v>1</v>
      </c>
      <c r="I131" s="5" t="b">
        <v>1</v>
      </c>
      <c r="J131" s="5" t="b">
        <v>0</v>
      </c>
      <c r="K131" s="5" t="b">
        <v>0</v>
      </c>
      <c r="L131" s="5" t="b">
        <v>0</v>
      </c>
      <c r="M131" s="5" t="b">
        <v>0</v>
      </c>
      <c r="N131" s="5" t="b">
        <v>1</v>
      </c>
      <c r="O131" s="5" t="b">
        <v>0</v>
      </c>
      <c r="P131" s="5" t="b">
        <v>0</v>
      </c>
      <c r="Q131" s="5" t="b">
        <v>1</v>
      </c>
      <c r="R131" s="5" t="b">
        <v>1</v>
      </c>
      <c r="S131" s="5" t="b">
        <v>0</v>
      </c>
      <c r="T131" s="5" t="b">
        <v>1</v>
      </c>
      <c r="U131" s="5" t="b">
        <v>0</v>
      </c>
      <c r="V131" s="3" t="b">
        <v>1</v>
      </c>
      <c r="W131">
        <f t="shared" ref="W131" si="9">MEDIAN((W14:W130))</f>
        <v>3</v>
      </c>
    </row>
    <row r="132" spans="1:24" x14ac:dyDescent="0.3">
      <c r="A132" s="5" t="s">
        <v>196</v>
      </c>
      <c r="B132" s="3" t="s">
        <v>202</v>
      </c>
      <c r="C132" s="5" t="b">
        <v>0</v>
      </c>
      <c r="D132" s="5" t="b">
        <v>0</v>
      </c>
      <c r="E132" s="5" t="b">
        <v>0</v>
      </c>
      <c r="F132" s="5" t="b">
        <v>0</v>
      </c>
      <c r="G132" s="5" t="b">
        <v>0</v>
      </c>
      <c r="H132" s="5" t="b">
        <v>0</v>
      </c>
      <c r="I132" s="5" t="b">
        <v>1</v>
      </c>
      <c r="J132" s="5" t="b">
        <v>0</v>
      </c>
      <c r="K132" s="5" t="b">
        <v>0</v>
      </c>
      <c r="L132" s="5" t="b">
        <v>1</v>
      </c>
      <c r="M132" s="5" t="b">
        <v>1</v>
      </c>
      <c r="N132" s="5" t="b">
        <v>1</v>
      </c>
      <c r="O132" s="5" t="b">
        <v>1</v>
      </c>
      <c r="P132" s="5" t="b">
        <v>0</v>
      </c>
      <c r="Q132" s="5" t="b">
        <v>0</v>
      </c>
      <c r="R132" s="5" t="b">
        <v>0</v>
      </c>
      <c r="S132" s="5" t="b">
        <v>0</v>
      </c>
      <c r="T132" s="5" t="b">
        <v>0</v>
      </c>
      <c r="U132" s="5" t="b">
        <v>0</v>
      </c>
      <c r="V132" s="3" t="b">
        <v>1</v>
      </c>
      <c r="W132">
        <f t="shared" ref="W132" si="10">_xlfn.QUARTILE.INC(W14:W130,1)</f>
        <v>2</v>
      </c>
    </row>
    <row r="133" spans="1:24" x14ac:dyDescent="0.3">
      <c r="A133" s="5" t="s">
        <v>197</v>
      </c>
      <c r="B133" s="3" t="s">
        <v>154</v>
      </c>
      <c r="C133" s="5" t="b">
        <v>0</v>
      </c>
      <c r="D133" s="5" t="b">
        <v>0</v>
      </c>
      <c r="E133" s="5" t="b">
        <v>0</v>
      </c>
      <c r="F133" s="5" t="b">
        <v>0</v>
      </c>
      <c r="G133" s="5" t="b">
        <v>0</v>
      </c>
      <c r="H133" s="5" t="b">
        <v>0</v>
      </c>
      <c r="I133" s="5" t="b">
        <v>1</v>
      </c>
      <c r="J133" s="5" t="b">
        <v>0</v>
      </c>
      <c r="K133" s="5" t="b">
        <v>0</v>
      </c>
      <c r="L133" s="5" t="b">
        <v>1</v>
      </c>
      <c r="M133" s="5" t="b">
        <v>0</v>
      </c>
      <c r="N133" s="5" t="b">
        <v>1</v>
      </c>
      <c r="O133" s="5" t="b">
        <v>0</v>
      </c>
      <c r="P133" s="5" t="b">
        <v>0</v>
      </c>
      <c r="Q133" s="5" t="b">
        <v>1</v>
      </c>
      <c r="R133" s="5" t="b">
        <v>0</v>
      </c>
      <c r="S133" s="5" t="b">
        <v>0</v>
      </c>
      <c r="T133" s="5" t="b">
        <v>1</v>
      </c>
      <c r="U133" s="5" t="b">
        <v>0</v>
      </c>
      <c r="V133" s="5" t="b">
        <v>0</v>
      </c>
      <c r="W133">
        <f t="shared" ref="W133" si="11">_xlfn.QUARTILE.INC(W14:W130,3)</f>
        <v>5</v>
      </c>
    </row>
    <row r="134" spans="1:24" x14ac:dyDescent="0.3">
      <c r="A134" s="5" t="s">
        <v>198</v>
      </c>
      <c r="B134" s="3" t="s">
        <v>143</v>
      </c>
      <c r="C134" s="5" t="b">
        <v>1</v>
      </c>
      <c r="D134" s="5" t="b">
        <v>0</v>
      </c>
      <c r="E134" s="5" t="b">
        <v>0</v>
      </c>
      <c r="F134" s="5" t="b">
        <v>0</v>
      </c>
      <c r="G134" s="5" t="b">
        <v>0</v>
      </c>
      <c r="H134" s="5" t="b">
        <v>0</v>
      </c>
      <c r="I134" s="5" t="b">
        <v>1</v>
      </c>
      <c r="J134" s="5" t="b">
        <v>1</v>
      </c>
      <c r="K134" s="5" t="b">
        <v>0</v>
      </c>
      <c r="L134" s="5" t="b">
        <v>1</v>
      </c>
      <c r="M134" s="5" t="b">
        <v>0</v>
      </c>
      <c r="N134" s="5" t="b">
        <v>0</v>
      </c>
      <c r="O134" s="5" t="b">
        <v>0</v>
      </c>
      <c r="P134" s="5" t="b">
        <v>0</v>
      </c>
      <c r="Q134" s="5" t="b">
        <v>0</v>
      </c>
      <c r="R134" s="5" t="b">
        <v>0</v>
      </c>
      <c r="S134" s="5" t="b">
        <v>0</v>
      </c>
      <c r="T134" s="5" t="b">
        <v>0</v>
      </c>
      <c r="U134" s="5" t="b">
        <v>0</v>
      </c>
      <c r="V134" s="5" t="b">
        <v>0</v>
      </c>
      <c r="W134">
        <f t="shared" ref="W134" si="12">MEDIAN((W17:W133))</f>
        <v>3</v>
      </c>
    </row>
    <row r="135" spans="1:24" x14ac:dyDescent="0.3">
      <c r="A135" s="5" t="s">
        <v>198</v>
      </c>
      <c r="B135" s="3" t="s">
        <v>203</v>
      </c>
      <c r="C135" s="5" t="b">
        <v>0</v>
      </c>
      <c r="D135" s="5" t="b">
        <v>0</v>
      </c>
      <c r="E135" s="5" t="b">
        <v>0</v>
      </c>
      <c r="F135" s="5" t="b">
        <v>0</v>
      </c>
      <c r="G135" s="5" t="b">
        <v>0</v>
      </c>
      <c r="H135" s="5" t="b">
        <v>1</v>
      </c>
      <c r="I135" s="5" t="b">
        <v>0</v>
      </c>
      <c r="J135" s="5" t="b">
        <v>0</v>
      </c>
      <c r="K135" s="5" t="b">
        <v>0</v>
      </c>
      <c r="L135" s="5" t="b">
        <v>0</v>
      </c>
      <c r="M135" s="5" t="b">
        <v>0</v>
      </c>
      <c r="N135" s="5" t="b">
        <v>0</v>
      </c>
      <c r="O135" s="5" t="b">
        <v>0</v>
      </c>
      <c r="P135" s="5" t="b">
        <v>0</v>
      </c>
      <c r="Q135" s="5" t="b">
        <v>0</v>
      </c>
      <c r="R135" s="5" t="b">
        <v>0</v>
      </c>
      <c r="S135" s="5" t="b">
        <v>0</v>
      </c>
      <c r="T135" s="5" t="b">
        <v>0</v>
      </c>
      <c r="U135" s="5" t="b">
        <v>0</v>
      </c>
      <c r="V135" s="5" t="b">
        <v>0</v>
      </c>
      <c r="W135">
        <f t="shared" ref="W135" si="13">_xlfn.QUARTILE.INC(W17:W133,1)</f>
        <v>2</v>
      </c>
    </row>
    <row r="136" spans="1:24" x14ac:dyDescent="0.3">
      <c r="A136" s="5" t="s">
        <v>199</v>
      </c>
      <c r="B136" s="3" t="s">
        <v>136</v>
      </c>
      <c r="C136" s="5" t="b">
        <v>1</v>
      </c>
      <c r="D136" s="5" t="b">
        <v>0</v>
      </c>
      <c r="E136" s="5" t="b">
        <v>0</v>
      </c>
      <c r="F136" s="5" t="b">
        <v>0</v>
      </c>
      <c r="G136" s="5" t="b">
        <v>0</v>
      </c>
      <c r="H136" s="5" t="b">
        <v>0</v>
      </c>
      <c r="I136" s="5" t="b">
        <v>1</v>
      </c>
      <c r="J136" s="5" t="b">
        <v>0</v>
      </c>
      <c r="K136" s="5" t="b">
        <v>0</v>
      </c>
      <c r="L136" s="5" t="b">
        <v>1</v>
      </c>
      <c r="M136" s="5" t="b">
        <v>0</v>
      </c>
      <c r="N136" s="5" t="b">
        <v>1</v>
      </c>
      <c r="O136" s="5" t="b">
        <v>1</v>
      </c>
      <c r="P136" s="5" t="b">
        <v>0</v>
      </c>
      <c r="Q136" s="5" t="b">
        <v>1</v>
      </c>
      <c r="R136" s="5" t="b">
        <v>0</v>
      </c>
      <c r="S136" s="5" t="b">
        <v>0</v>
      </c>
      <c r="T136" s="5" t="b">
        <v>0</v>
      </c>
      <c r="U136" s="5" t="b">
        <v>0</v>
      </c>
      <c r="V136" s="5" t="b">
        <v>0</v>
      </c>
      <c r="W136">
        <f t="shared" ref="W136" si="14">_xlfn.QUARTILE.INC(W17:W133,3)</f>
        <v>5</v>
      </c>
    </row>
    <row r="137" spans="1:24" x14ac:dyDescent="0.3">
      <c r="A137" s="5" t="s">
        <v>199</v>
      </c>
      <c r="B137" s="3" t="s">
        <v>209</v>
      </c>
      <c r="C137" s="5" t="b">
        <v>1</v>
      </c>
      <c r="D137" s="5" t="b">
        <v>0</v>
      </c>
      <c r="E137" s="5" t="b">
        <v>0</v>
      </c>
      <c r="F137" s="5" t="b">
        <v>0</v>
      </c>
      <c r="G137" s="5" t="b">
        <v>0</v>
      </c>
      <c r="H137" s="5" t="b">
        <v>1</v>
      </c>
      <c r="I137" s="5" t="b">
        <v>1</v>
      </c>
      <c r="J137" s="5" t="b">
        <v>1</v>
      </c>
      <c r="K137" s="5" t="b">
        <v>0</v>
      </c>
      <c r="L137" s="5" t="b">
        <v>1</v>
      </c>
      <c r="M137" s="5" t="b">
        <v>0</v>
      </c>
      <c r="N137" s="5" t="b">
        <v>1</v>
      </c>
      <c r="O137" s="5" t="b">
        <v>0</v>
      </c>
      <c r="P137" s="5" t="b">
        <v>0</v>
      </c>
      <c r="Q137" s="5" t="b">
        <v>1</v>
      </c>
      <c r="R137" s="5" t="b">
        <v>1</v>
      </c>
      <c r="S137" s="5" t="b">
        <v>0</v>
      </c>
      <c r="T137" s="5" t="b">
        <v>1</v>
      </c>
      <c r="U137" s="5" t="b">
        <v>0</v>
      </c>
      <c r="V137" s="5" t="b">
        <v>0</v>
      </c>
      <c r="W137">
        <f t="shared" ref="W137" si="15">MEDIAN((W20:W136))</f>
        <v>3</v>
      </c>
    </row>
    <row r="138" spans="1:24" x14ac:dyDescent="0.3">
      <c r="A138" s="5" t="s">
        <v>200</v>
      </c>
      <c r="B138" s="3" t="s">
        <v>173</v>
      </c>
      <c r="C138" s="5" t="b">
        <v>0</v>
      </c>
      <c r="D138" s="5" t="b">
        <v>0</v>
      </c>
      <c r="E138" s="5" t="b">
        <v>0</v>
      </c>
      <c r="F138" s="5" t="b">
        <v>0</v>
      </c>
      <c r="G138" s="5" t="b">
        <v>0</v>
      </c>
      <c r="H138" s="5" t="b">
        <v>1</v>
      </c>
      <c r="I138" s="5" t="b">
        <v>1</v>
      </c>
      <c r="J138" s="5" t="b">
        <v>1</v>
      </c>
      <c r="K138" s="5" t="b">
        <v>1</v>
      </c>
      <c r="L138" s="5" t="b">
        <v>0</v>
      </c>
      <c r="M138" s="5" t="b">
        <v>0</v>
      </c>
      <c r="N138" s="5" t="b">
        <v>0</v>
      </c>
      <c r="O138" s="5" t="b">
        <v>0</v>
      </c>
      <c r="P138" s="5" t="b">
        <v>0</v>
      </c>
      <c r="Q138" s="5" t="b">
        <v>1</v>
      </c>
      <c r="R138" s="5" t="b">
        <v>0</v>
      </c>
      <c r="S138" s="5" t="b">
        <v>0</v>
      </c>
      <c r="T138" s="5" t="b">
        <v>0</v>
      </c>
      <c r="U138" s="5" t="b">
        <v>0</v>
      </c>
      <c r="V138" s="5" t="b">
        <v>0</v>
      </c>
      <c r="W138">
        <f t="shared" ref="W138" si="16">_xlfn.QUARTILE.INC(W20:W136,1)</f>
        <v>2</v>
      </c>
    </row>
    <row r="139" spans="1:24" x14ac:dyDescent="0.3">
      <c r="W139">
        <f>MEDIAN((W2:W138))</f>
        <v>3</v>
      </c>
      <c r="X139" t="s">
        <v>180</v>
      </c>
    </row>
    <row r="140" spans="1:24" x14ac:dyDescent="0.3">
      <c r="W140">
        <f>_xlfn.QUARTILE.INC(W2:W138,1)</f>
        <v>2</v>
      </c>
      <c r="X140" t="s">
        <v>181</v>
      </c>
    </row>
    <row r="141" spans="1:24" x14ac:dyDescent="0.3">
      <c r="W141">
        <f>_xlfn.QUARTILE.INC(W2:W138,3)</f>
        <v>5</v>
      </c>
      <c r="X141" t="s">
        <v>182</v>
      </c>
    </row>
  </sheetData>
  <conditionalFormatting sqref="C1:U69 I72:U72 C73:U76 X139 C139:V1048576">
    <cfRule type="cellIs" dxfId="5" priority="6" operator="equal">
      <formula>TRUE</formula>
    </cfRule>
  </conditionalFormatting>
  <conditionalFormatting sqref="C120:U138">
    <cfRule type="cellIs" dxfId="4" priority="2" operator="equal">
      <formula>TRUE</formula>
    </cfRule>
  </conditionalFormatting>
  <conditionalFormatting sqref="C110:V119">
    <cfRule type="cellIs" dxfId="3" priority="3" operator="equal">
      <formula>TRUE</formula>
    </cfRule>
  </conditionalFormatting>
  <conditionalFormatting sqref="V1:V70">
    <cfRule type="cellIs" dxfId="2" priority="4" operator="equal">
      <formula>TRUE</formula>
    </cfRule>
  </conditionalFormatting>
  <conditionalFormatting sqref="V72:V76 C80:V81 C83:V83 C85:V85">
    <cfRule type="cellIs" dxfId="1" priority="5" operator="equal">
      <formula>TRUE</formula>
    </cfRule>
  </conditionalFormatting>
  <conditionalFormatting sqref="V121:V138">
    <cfRule type="cellIs" dxfId="0" priority="1" operator="equal">
      <formula>TRUE</formula>
    </cfRule>
  </conditionalFormatting>
  <dataValidations count="1">
    <dataValidation type="list" allowBlank="1" showInputMessage="1" showErrorMessage="1" sqref="I72 C80:V81 J72:V76 C73:I76 C83:V83 C85:V85 C2:V69 V70 X139 C110:V118 C139:V1048576 C119:U138 V119 V121:V138" xr:uid="{FDAB3DE1-A6D3-4690-89BE-C50B30726E64}">
      <formula1>"True, False"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Kadan</dc:creator>
  <cp:lastModifiedBy>Anoop Kadan</cp:lastModifiedBy>
  <dcterms:created xsi:type="dcterms:W3CDTF">2026-06-25T20:45:20Z</dcterms:created>
  <dcterms:modified xsi:type="dcterms:W3CDTF">2026-09-14T08:20:03Z</dcterms:modified>
</cp:coreProperties>
</file>